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l\Desktop\"/>
    </mc:Choice>
  </mc:AlternateContent>
  <xr:revisionPtr revIDLastSave="0" documentId="13_ncr:1_{EB8039AF-F6F3-4B40-A09F-3A2B3F73103B}" xr6:coauthVersionLast="47" xr6:coauthVersionMax="47" xr10:uidLastSave="{00000000-0000-0000-0000-000000000000}"/>
  <bookViews>
    <workbookView xWindow="-110" yWindow="-110" windowWidth="19420" windowHeight="10300" xr2:uid="{8516A0D2-0CA2-46DC-882E-98DD43FC152A}"/>
  </bookViews>
  <sheets>
    <sheet name="housing- Dataset" sheetId="1" r:id="rId1"/>
    <sheet name="cleaning" sheetId="3" r:id="rId2"/>
    <sheet name="outliar droping(1)" sheetId="4" r:id="rId3"/>
    <sheet name="outliar droping(2)" sheetId="5" r:id="rId4"/>
    <sheet name="outliar droping(3)" sheetId="8" r:id="rId5"/>
    <sheet name="test-train" sheetId="9" r:id="rId6"/>
    <sheet name="train" sheetId="10" r:id="rId7"/>
    <sheet name="test" sheetId="11" r:id="rId8"/>
  </sheets>
  <definedNames>
    <definedName name="_xlnm._FilterDatabase" localSheetId="6" hidden="1">train!$A$1:$P$1</definedName>
    <definedName name="ExternalData_1" localSheetId="5" hidden="1">'test-train'!$A$1:$N$167</definedName>
    <definedName name="ExternalData_2" localSheetId="1" hidden="1">cleaning!$A$1:$N$201</definedName>
    <definedName name="ExternalData_2" localSheetId="2" hidden="1">'outliar droping(1)'!$A$1:$N$201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4" i="11" l="1"/>
  <c r="S34" i="11"/>
  <c r="T34" i="11"/>
  <c r="Q34" i="11"/>
  <c r="Q2" i="11"/>
  <c r="R2" i="11" l="1"/>
  <c r="Q12" i="11"/>
  <c r="R12" i="11" s="1"/>
  <c r="Q13" i="11"/>
  <c r="R13" i="11" s="1"/>
  <c r="T13" i="11" s="1"/>
  <c r="Q14" i="11"/>
  <c r="R14" i="11" s="1"/>
  <c r="Q15" i="11"/>
  <c r="R15" i="11" s="1"/>
  <c r="Q16" i="11"/>
  <c r="R16" i="11" s="1"/>
  <c r="Q17" i="11"/>
  <c r="R17" i="11" s="1"/>
  <c r="T17" i="11" s="1"/>
  <c r="Q18" i="11"/>
  <c r="R18" i="11" s="1"/>
  <c r="Q19" i="11"/>
  <c r="R19" i="11" s="1"/>
  <c r="Q20" i="11"/>
  <c r="R20" i="11" s="1"/>
  <c r="Q21" i="11"/>
  <c r="R21" i="11" s="1"/>
  <c r="T21" i="11" s="1"/>
  <c r="Q22" i="11"/>
  <c r="R22" i="11" s="1"/>
  <c r="Q23" i="11"/>
  <c r="R23" i="11" s="1"/>
  <c r="Q24" i="11"/>
  <c r="R24" i="11" s="1"/>
  <c r="Q25" i="11"/>
  <c r="R25" i="11" s="1"/>
  <c r="T25" i="11" s="1"/>
  <c r="Q26" i="11"/>
  <c r="R26" i="11" s="1"/>
  <c r="Q27" i="11"/>
  <c r="R27" i="11" s="1"/>
  <c r="Q28" i="11"/>
  <c r="R28" i="11" s="1"/>
  <c r="Q29" i="11"/>
  <c r="R29" i="11" s="1"/>
  <c r="T29" i="11" s="1"/>
  <c r="Q30" i="11"/>
  <c r="R30" i="11" s="1"/>
  <c r="Q31" i="11"/>
  <c r="R31" i="11" s="1"/>
  <c r="Q32" i="11"/>
  <c r="R32" i="11" s="1"/>
  <c r="Q33" i="11"/>
  <c r="R33" i="11" s="1"/>
  <c r="T33" i="11" s="1"/>
  <c r="Q3" i="11"/>
  <c r="R3" i="11" s="1"/>
  <c r="Q4" i="11"/>
  <c r="R4" i="11" s="1"/>
  <c r="Q5" i="11"/>
  <c r="R5" i="11" s="1"/>
  <c r="T5" i="11" s="1"/>
  <c r="Q6" i="11"/>
  <c r="R6" i="11" s="1"/>
  <c r="T6" i="11" s="1"/>
  <c r="Q7" i="11"/>
  <c r="R7" i="11" s="1"/>
  <c r="Q8" i="11"/>
  <c r="R8" i="11" s="1"/>
  <c r="Q9" i="11"/>
  <c r="R9" i="11" s="1"/>
  <c r="Q10" i="11"/>
  <c r="R10" i="11" s="1"/>
  <c r="Q11" i="11"/>
  <c r="R11" i="11" s="1"/>
  <c r="S28" i="11" l="1"/>
  <c r="T28" i="11"/>
  <c r="S20" i="11"/>
  <c r="T20" i="11"/>
  <c r="T12" i="11"/>
  <c r="S12" i="11"/>
  <c r="S19" i="11"/>
  <c r="T19" i="11"/>
  <c r="T4" i="11"/>
  <c r="S4" i="11"/>
  <c r="S27" i="11"/>
  <c r="T27" i="11"/>
  <c r="T11" i="11"/>
  <c r="S11" i="11"/>
  <c r="T3" i="11"/>
  <c r="S3" i="11"/>
  <c r="T26" i="11"/>
  <c r="S26" i="11"/>
  <c r="T18" i="11"/>
  <c r="S18" i="11"/>
  <c r="T10" i="11"/>
  <c r="S10" i="11"/>
  <c r="T9" i="11"/>
  <c r="S9" i="11"/>
  <c r="T16" i="11"/>
  <c r="S16" i="11"/>
  <c r="T31" i="11"/>
  <c r="S31" i="11"/>
  <c r="T22" i="11"/>
  <c r="S22" i="11"/>
  <c r="T24" i="11"/>
  <c r="S24" i="11"/>
  <c r="T32" i="11"/>
  <c r="S32" i="11"/>
  <c r="T8" i="11"/>
  <c r="S8" i="11"/>
  <c r="T23" i="11"/>
  <c r="S23" i="11"/>
  <c r="T15" i="11"/>
  <c r="S15" i="11"/>
  <c r="T7" i="11"/>
  <c r="S7" i="11"/>
  <c r="T30" i="11"/>
  <c r="S30" i="11"/>
  <c r="T14" i="11"/>
  <c r="S14" i="11"/>
  <c r="T2" i="11"/>
  <c r="S2" i="11"/>
  <c r="V3" i="11" s="1"/>
  <c r="S29" i="11"/>
  <c r="S21" i="11"/>
  <c r="S13" i="11"/>
  <c r="S5" i="11"/>
  <c r="S33" i="11"/>
  <c r="S25" i="11"/>
  <c r="S17" i="11"/>
  <c r="S6" i="11"/>
  <c r="Y3" i="11" l="1"/>
  <c r="W3" i="11"/>
  <c r="X3" i="11" s="1"/>
  <c r="P135" i="10" l="1"/>
  <c r="N135" i="10"/>
  <c r="P134" i="10"/>
  <c r="N134" i="10"/>
  <c r="P133" i="10"/>
  <c r="N133" i="10"/>
  <c r="P132" i="10"/>
  <c r="N132" i="10"/>
  <c r="P131" i="10"/>
  <c r="N131" i="10"/>
  <c r="P130" i="10"/>
  <c r="N130" i="10"/>
  <c r="P129" i="10"/>
  <c r="N129" i="10"/>
  <c r="P128" i="10"/>
  <c r="N128" i="10"/>
  <c r="P127" i="10"/>
  <c r="N127" i="10"/>
  <c r="P126" i="10"/>
  <c r="N126" i="10"/>
  <c r="P125" i="10"/>
  <c r="N125" i="10"/>
  <c r="P124" i="10"/>
  <c r="N124" i="10"/>
  <c r="P123" i="10"/>
  <c r="N123" i="10"/>
  <c r="P122" i="10"/>
  <c r="N122" i="10"/>
  <c r="P121" i="10"/>
  <c r="N121" i="10"/>
  <c r="P120" i="10"/>
  <c r="N120" i="10"/>
  <c r="P119" i="10"/>
  <c r="N119" i="10"/>
  <c r="P118" i="10"/>
  <c r="N118" i="10"/>
  <c r="P117" i="10"/>
  <c r="N117" i="10"/>
  <c r="P116" i="10"/>
  <c r="N116" i="10"/>
  <c r="P115" i="10"/>
  <c r="N115" i="10"/>
  <c r="P114" i="10"/>
  <c r="N114" i="10"/>
  <c r="P113" i="10"/>
  <c r="N113" i="10"/>
  <c r="P112" i="10"/>
  <c r="N112" i="10"/>
  <c r="P111" i="10"/>
  <c r="N111" i="10"/>
  <c r="P110" i="10"/>
  <c r="N110" i="10"/>
  <c r="P109" i="10"/>
  <c r="N109" i="10"/>
  <c r="P108" i="10"/>
  <c r="N108" i="10"/>
  <c r="P107" i="10"/>
  <c r="N107" i="10"/>
  <c r="P106" i="10"/>
  <c r="N106" i="10"/>
  <c r="P105" i="10"/>
  <c r="N105" i="10"/>
  <c r="P104" i="10"/>
  <c r="N104" i="10"/>
  <c r="P103" i="10"/>
  <c r="N103" i="10"/>
  <c r="P102" i="10"/>
  <c r="N102" i="10"/>
  <c r="P101" i="10"/>
  <c r="N101" i="10"/>
  <c r="P100" i="10"/>
  <c r="N100" i="10"/>
  <c r="P99" i="10"/>
  <c r="N99" i="10"/>
  <c r="P98" i="10"/>
  <c r="N98" i="10"/>
  <c r="P97" i="10"/>
  <c r="N97" i="10"/>
  <c r="P96" i="10"/>
  <c r="N96" i="10"/>
  <c r="P95" i="10"/>
  <c r="N95" i="10"/>
  <c r="P94" i="10"/>
  <c r="N94" i="10"/>
  <c r="P93" i="10"/>
  <c r="N93" i="10"/>
  <c r="P92" i="10"/>
  <c r="N92" i="10"/>
  <c r="P91" i="10"/>
  <c r="N91" i="10"/>
  <c r="P90" i="10"/>
  <c r="N90" i="10"/>
  <c r="P89" i="10"/>
  <c r="N89" i="10"/>
  <c r="P88" i="10"/>
  <c r="N88" i="10"/>
  <c r="P87" i="10"/>
  <c r="N87" i="10"/>
  <c r="P86" i="10"/>
  <c r="N86" i="10"/>
  <c r="P85" i="10"/>
  <c r="N85" i="10"/>
  <c r="P84" i="10"/>
  <c r="N84" i="10"/>
  <c r="P83" i="10"/>
  <c r="N83" i="10"/>
  <c r="P82" i="10"/>
  <c r="N82" i="10"/>
  <c r="P81" i="10"/>
  <c r="N81" i="10"/>
  <c r="P80" i="10"/>
  <c r="N80" i="10"/>
  <c r="P79" i="10"/>
  <c r="N79" i="10"/>
  <c r="P78" i="10"/>
  <c r="N78" i="10"/>
  <c r="P77" i="10"/>
  <c r="N77" i="10"/>
  <c r="P76" i="10"/>
  <c r="N76" i="10"/>
  <c r="P75" i="10"/>
  <c r="N75" i="10"/>
  <c r="P74" i="10"/>
  <c r="N74" i="10"/>
  <c r="P73" i="10"/>
  <c r="N73" i="10"/>
  <c r="P72" i="10"/>
  <c r="N72" i="10"/>
  <c r="P71" i="10"/>
  <c r="N71" i="10"/>
  <c r="P70" i="10"/>
  <c r="N70" i="10"/>
  <c r="P69" i="10"/>
  <c r="N69" i="10"/>
  <c r="P68" i="10"/>
  <c r="N68" i="10"/>
  <c r="P67" i="10"/>
  <c r="N67" i="10"/>
  <c r="P66" i="10"/>
  <c r="N66" i="10"/>
  <c r="P65" i="10"/>
  <c r="N65" i="10"/>
  <c r="P64" i="10"/>
  <c r="N64" i="10"/>
  <c r="P63" i="10"/>
  <c r="N63" i="10"/>
  <c r="P62" i="10"/>
  <c r="N62" i="10"/>
  <c r="P61" i="10"/>
  <c r="N61" i="10"/>
  <c r="P60" i="10"/>
  <c r="N60" i="10"/>
  <c r="P59" i="10"/>
  <c r="N59" i="10"/>
  <c r="P58" i="10"/>
  <c r="N58" i="10"/>
  <c r="P57" i="10"/>
  <c r="N57" i="10"/>
  <c r="P56" i="10"/>
  <c r="N56" i="10"/>
  <c r="P55" i="10"/>
  <c r="N55" i="10"/>
  <c r="P54" i="10"/>
  <c r="N54" i="10"/>
  <c r="P53" i="10"/>
  <c r="N53" i="10"/>
  <c r="P52" i="10"/>
  <c r="N52" i="10"/>
  <c r="P51" i="10"/>
  <c r="N51" i="10"/>
  <c r="P50" i="10"/>
  <c r="N50" i="10"/>
  <c r="P49" i="10"/>
  <c r="N49" i="10"/>
  <c r="P48" i="10"/>
  <c r="N48" i="10"/>
  <c r="P47" i="10"/>
  <c r="N47" i="10"/>
  <c r="P46" i="10"/>
  <c r="N46" i="10"/>
  <c r="P45" i="10"/>
  <c r="N45" i="10"/>
  <c r="P44" i="10"/>
  <c r="N44" i="10"/>
  <c r="P43" i="10"/>
  <c r="N43" i="10"/>
  <c r="P42" i="10"/>
  <c r="N42" i="10"/>
  <c r="P41" i="10"/>
  <c r="N41" i="10"/>
  <c r="P40" i="10"/>
  <c r="N40" i="10"/>
  <c r="P39" i="10"/>
  <c r="N39" i="10"/>
  <c r="P38" i="10"/>
  <c r="N38" i="10"/>
  <c r="P37" i="10"/>
  <c r="N37" i="10"/>
  <c r="P36" i="10"/>
  <c r="N36" i="10"/>
  <c r="P35" i="10"/>
  <c r="N35" i="10"/>
  <c r="P34" i="10"/>
  <c r="N34" i="10"/>
  <c r="P33" i="10"/>
  <c r="N33" i="10"/>
  <c r="P32" i="10"/>
  <c r="N32" i="10"/>
  <c r="P31" i="10"/>
  <c r="N31" i="10"/>
  <c r="P30" i="10"/>
  <c r="N30" i="10"/>
  <c r="P29" i="10"/>
  <c r="N29" i="10"/>
  <c r="P28" i="10"/>
  <c r="N28" i="10"/>
  <c r="P27" i="10"/>
  <c r="N27" i="10"/>
  <c r="P26" i="10"/>
  <c r="N26" i="10"/>
  <c r="P25" i="10"/>
  <c r="N25" i="10"/>
  <c r="P24" i="10"/>
  <c r="N24" i="10"/>
  <c r="P23" i="10"/>
  <c r="N23" i="10"/>
  <c r="P22" i="10"/>
  <c r="N22" i="10"/>
  <c r="P21" i="10"/>
  <c r="N21" i="10"/>
  <c r="P20" i="10"/>
  <c r="N20" i="10"/>
  <c r="P19" i="10"/>
  <c r="N19" i="10"/>
  <c r="P18" i="10"/>
  <c r="N18" i="10"/>
  <c r="P17" i="10"/>
  <c r="N17" i="10"/>
  <c r="P16" i="10"/>
  <c r="N16" i="10"/>
  <c r="P15" i="10"/>
  <c r="N15" i="10"/>
  <c r="P14" i="10"/>
  <c r="N14" i="10"/>
  <c r="P13" i="10"/>
  <c r="N13" i="10"/>
  <c r="P12" i="10"/>
  <c r="N12" i="10"/>
  <c r="P11" i="10"/>
  <c r="N11" i="10"/>
  <c r="P10" i="10"/>
  <c r="N10" i="10"/>
  <c r="P9" i="10"/>
  <c r="N9" i="10"/>
  <c r="P8" i="10"/>
  <c r="N8" i="10"/>
  <c r="P7" i="10"/>
  <c r="N7" i="10"/>
  <c r="P6" i="10"/>
  <c r="N6" i="10"/>
  <c r="P5" i="10"/>
  <c r="N5" i="10"/>
  <c r="P4" i="10"/>
  <c r="N4" i="10"/>
  <c r="P3" i="10"/>
  <c r="N3" i="10"/>
  <c r="P2" i="10"/>
  <c r="N2" i="10"/>
  <c r="Q4" i="9"/>
  <c r="Q2" i="9"/>
  <c r="Q3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O146" i="9"/>
  <c r="O94" i="9"/>
  <c r="O106" i="9"/>
  <c r="O109" i="9"/>
  <c r="O36" i="9"/>
  <c r="O105" i="9"/>
  <c r="O137" i="9"/>
  <c r="O107" i="9"/>
  <c r="O49" i="9"/>
  <c r="O67" i="9"/>
  <c r="O13" i="9"/>
  <c r="O52" i="9"/>
  <c r="O73" i="9"/>
  <c r="O53" i="9"/>
  <c r="O14" i="9"/>
  <c r="O23" i="9"/>
  <c r="O56" i="9"/>
  <c r="O143" i="9"/>
  <c r="O145" i="9"/>
  <c r="O108" i="9"/>
  <c r="O47" i="9"/>
  <c r="O124" i="9"/>
  <c r="O50" i="9"/>
  <c r="O135" i="9"/>
  <c r="O128" i="9"/>
  <c r="O150" i="9"/>
  <c r="O63" i="9"/>
  <c r="O121" i="9"/>
  <c r="O110" i="9"/>
  <c r="O164" i="9"/>
  <c r="O43" i="9"/>
  <c r="O58" i="9"/>
  <c r="O30" i="9"/>
  <c r="O17" i="9"/>
  <c r="O8" i="9"/>
  <c r="O138" i="9"/>
  <c r="O158" i="9"/>
  <c r="O97" i="9"/>
  <c r="O99" i="9"/>
  <c r="O166" i="9"/>
  <c r="O102" i="9"/>
  <c r="O61" i="9"/>
  <c r="O100" i="9"/>
  <c r="O74" i="9"/>
  <c r="O122" i="9"/>
  <c r="O163" i="9"/>
  <c r="O93" i="9"/>
  <c r="O44" i="9"/>
  <c r="O4" i="9"/>
  <c r="O38" i="9"/>
  <c r="O59" i="9"/>
  <c r="O118" i="9"/>
  <c r="O112" i="9"/>
  <c r="O87" i="9"/>
  <c r="O41" i="9"/>
  <c r="O154" i="9"/>
  <c r="O147" i="9"/>
  <c r="O126" i="9"/>
  <c r="O9" i="9"/>
  <c r="O148" i="9"/>
  <c r="O157" i="9"/>
  <c r="O153" i="9"/>
  <c r="O101" i="9"/>
  <c r="O129" i="9"/>
  <c r="O123" i="9"/>
  <c r="O22" i="9"/>
  <c r="O165" i="9"/>
  <c r="O65" i="9"/>
  <c r="O21" i="9"/>
  <c r="O46" i="9"/>
  <c r="O84" i="9"/>
  <c r="O62" i="9"/>
  <c r="O86" i="9"/>
  <c r="O31" i="9"/>
  <c r="O155" i="9"/>
  <c r="O98" i="9"/>
  <c r="O37" i="9"/>
  <c r="O55" i="9"/>
  <c r="O119" i="9"/>
  <c r="O141" i="9"/>
  <c r="O66" i="9"/>
  <c r="O26" i="9"/>
  <c r="O85" i="9"/>
  <c r="O42" i="9"/>
  <c r="O15" i="9"/>
  <c r="O39" i="9"/>
  <c r="O70" i="9"/>
  <c r="O76" i="9"/>
  <c r="O167" i="9"/>
  <c r="O117" i="9"/>
  <c r="O75" i="9"/>
  <c r="O132" i="9"/>
  <c r="O156" i="9"/>
  <c r="O151" i="9"/>
  <c r="O33" i="9"/>
  <c r="O83" i="9"/>
  <c r="O127" i="9"/>
  <c r="O159" i="9"/>
  <c r="O139" i="9"/>
  <c r="O89" i="9"/>
  <c r="O80" i="9"/>
  <c r="O6" i="9"/>
  <c r="O116" i="9"/>
  <c r="O24" i="9"/>
  <c r="O25" i="9"/>
  <c r="O40" i="9"/>
  <c r="O35" i="9"/>
  <c r="O69" i="9"/>
  <c r="O95" i="9"/>
  <c r="O88" i="9"/>
  <c r="O19" i="9"/>
  <c r="O134" i="9"/>
  <c r="O7" i="9"/>
  <c r="O104" i="9"/>
  <c r="O10" i="9"/>
  <c r="O20" i="9"/>
  <c r="O54" i="9"/>
  <c r="O3" i="9"/>
  <c r="O71" i="9"/>
  <c r="O27" i="9"/>
  <c r="O152" i="9"/>
  <c r="O2" i="9"/>
  <c r="O162" i="9"/>
  <c r="O57" i="9"/>
  <c r="O60" i="9"/>
  <c r="O81" i="9"/>
  <c r="O28" i="9"/>
  <c r="O161" i="9"/>
  <c r="O149" i="9"/>
  <c r="O140" i="9"/>
  <c r="O160" i="9"/>
  <c r="O120" i="9"/>
  <c r="O113" i="9"/>
  <c r="O111" i="9"/>
  <c r="O96" i="9"/>
  <c r="O131" i="9"/>
  <c r="O103" i="9"/>
  <c r="O142" i="9"/>
  <c r="O133" i="9"/>
  <c r="O78" i="9"/>
  <c r="O79" i="9"/>
  <c r="O115" i="9"/>
  <c r="O72" i="9"/>
  <c r="O11" i="9"/>
  <c r="O82" i="9"/>
  <c r="O12" i="9"/>
  <c r="O34" i="9"/>
  <c r="O48" i="9"/>
  <c r="O130" i="9"/>
  <c r="O68" i="9"/>
  <c r="O92" i="9"/>
  <c r="O77" i="9"/>
  <c r="O136" i="9"/>
  <c r="O16" i="9"/>
  <c r="O29" i="9"/>
  <c r="O45" i="9"/>
  <c r="O91" i="9"/>
  <c r="O114" i="9"/>
  <c r="O144" i="9"/>
  <c r="O51" i="9"/>
  <c r="O5" i="9"/>
  <c r="O64" i="9"/>
  <c r="O18" i="9"/>
  <c r="O90" i="9"/>
  <c r="O125" i="9"/>
  <c r="O32" i="9"/>
  <c r="N1" i="5"/>
  <c r="A1" i="5"/>
  <c r="B1" i="5"/>
  <c r="C1" i="5"/>
  <c r="D1" i="5"/>
  <c r="E1" i="5"/>
  <c r="F1" i="5"/>
  <c r="G1" i="5"/>
  <c r="H1" i="5"/>
  <c r="I1" i="5"/>
  <c r="J1" i="5"/>
  <c r="K1" i="5"/>
  <c r="L1" i="5"/>
  <c r="M1" i="5"/>
  <c r="R3" i="4"/>
  <c r="S6" i="4"/>
  <c r="R9" i="4" s="1"/>
  <c r="R6" i="4"/>
  <c r="S3" i="4"/>
  <c r="R12" i="4" l="1"/>
  <c r="S12" i="4"/>
  <c r="P201" i="4" l="1"/>
  <c r="A201" i="5" s="1" a="1"/>
  <c r="A201" i="5" s="1"/>
  <c r="P10" i="4"/>
  <c r="A10" i="5" s="1" a="1"/>
  <c r="A10" i="5" s="1"/>
  <c r="P18" i="4"/>
  <c r="A18" i="5" s="1" a="1"/>
  <c r="A18" i="5" s="1"/>
  <c r="P26" i="4"/>
  <c r="A26" i="5" s="1" a="1"/>
  <c r="A26" i="5" s="1"/>
  <c r="P34" i="4"/>
  <c r="A34" i="5" s="1" a="1"/>
  <c r="A34" i="5" s="1"/>
  <c r="P42" i="4"/>
  <c r="A42" i="5" s="1" a="1"/>
  <c r="A42" i="5" s="1"/>
  <c r="P50" i="4"/>
  <c r="A50" i="5" s="1" a="1"/>
  <c r="A50" i="5" s="1"/>
  <c r="P58" i="4"/>
  <c r="A58" i="5" s="1" a="1"/>
  <c r="A58" i="5" s="1"/>
  <c r="P66" i="4"/>
  <c r="A66" i="5" s="1" a="1"/>
  <c r="A66" i="5" s="1"/>
  <c r="P74" i="4"/>
  <c r="A74" i="5" s="1" a="1"/>
  <c r="A74" i="5" s="1"/>
  <c r="P82" i="4"/>
  <c r="A82" i="5" s="1" a="1"/>
  <c r="A82" i="5" s="1"/>
  <c r="P90" i="4"/>
  <c r="A90" i="5" s="1" a="1"/>
  <c r="A90" i="5" s="1"/>
  <c r="P98" i="4"/>
  <c r="A98" i="5" s="1" a="1"/>
  <c r="A98" i="5" s="1"/>
  <c r="P106" i="4"/>
  <c r="A106" i="5" s="1" a="1"/>
  <c r="A106" i="5" s="1"/>
  <c r="P114" i="4"/>
  <c r="A114" i="5" s="1" a="1"/>
  <c r="A114" i="5" s="1"/>
  <c r="P122" i="4"/>
  <c r="A122" i="5" s="1" a="1"/>
  <c r="A122" i="5" s="1"/>
  <c r="P130" i="4"/>
  <c r="A130" i="5" s="1" a="1"/>
  <c r="A130" i="5" s="1"/>
  <c r="P138" i="4"/>
  <c r="A138" i="5" s="1" a="1"/>
  <c r="A138" i="5" s="1"/>
  <c r="P146" i="4"/>
  <c r="A146" i="5" s="1" a="1"/>
  <c r="A146" i="5" s="1"/>
  <c r="P154" i="4"/>
  <c r="A154" i="5" s="1" a="1"/>
  <c r="A154" i="5" s="1"/>
  <c r="P162" i="4"/>
  <c r="A162" i="5" s="1" a="1"/>
  <c r="A162" i="5" s="1"/>
  <c r="P170" i="4"/>
  <c r="A170" i="5" s="1" a="1"/>
  <c r="A170" i="5" s="1"/>
  <c r="P178" i="4"/>
  <c r="A178" i="5" s="1" a="1"/>
  <c r="A178" i="5" s="1"/>
  <c r="P186" i="4"/>
  <c r="A186" i="5" s="1" a="1"/>
  <c r="A186" i="5" s="1"/>
  <c r="P194" i="4"/>
  <c r="A194" i="5" s="1" a="1"/>
  <c r="A194" i="5" s="1"/>
  <c r="P3" i="4"/>
  <c r="A3" i="5" s="1" a="1"/>
  <c r="A3" i="5" s="1"/>
  <c r="P11" i="4"/>
  <c r="A11" i="5" s="1" a="1"/>
  <c r="A11" i="5" s="1"/>
  <c r="P19" i="4"/>
  <c r="A19" i="5" s="1" a="1"/>
  <c r="A19" i="5" s="1"/>
  <c r="P27" i="4"/>
  <c r="A27" i="5" s="1" a="1"/>
  <c r="A27" i="5" s="1"/>
  <c r="P35" i="4"/>
  <c r="A35" i="5" s="1" a="1"/>
  <c r="A35" i="5" s="1"/>
  <c r="P43" i="4"/>
  <c r="A43" i="5" s="1" a="1"/>
  <c r="A43" i="5" s="1"/>
  <c r="P51" i="4"/>
  <c r="A51" i="5" s="1" a="1"/>
  <c r="A51" i="5" s="1"/>
  <c r="P59" i="4"/>
  <c r="A59" i="5" s="1" a="1"/>
  <c r="A59" i="5" s="1"/>
  <c r="P67" i="4"/>
  <c r="A67" i="5" s="1" a="1"/>
  <c r="A67" i="5" s="1"/>
  <c r="P75" i="4"/>
  <c r="A75" i="5" s="1" a="1"/>
  <c r="A75" i="5" s="1"/>
  <c r="P83" i="4"/>
  <c r="A83" i="5" s="1" a="1"/>
  <c r="A83" i="5" s="1"/>
  <c r="P91" i="4"/>
  <c r="A91" i="5" s="1" a="1"/>
  <c r="A91" i="5" s="1"/>
  <c r="P99" i="4"/>
  <c r="A99" i="5" s="1" a="1"/>
  <c r="A99" i="5" s="1"/>
  <c r="P107" i="4"/>
  <c r="A107" i="5" s="1" a="1"/>
  <c r="A107" i="5" s="1"/>
  <c r="P115" i="4"/>
  <c r="A115" i="5" s="1" a="1"/>
  <c r="A115" i="5" s="1"/>
  <c r="P123" i="4"/>
  <c r="A123" i="5" s="1" a="1"/>
  <c r="A123" i="5" s="1"/>
  <c r="P131" i="4"/>
  <c r="A131" i="5" s="1" a="1"/>
  <c r="A131" i="5" s="1"/>
  <c r="P139" i="4"/>
  <c r="A139" i="5" s="1" a="1"/>
  <c r="A139" i="5" s="1"/>
  <c r="P147" i="4"/>
  <c r="A147" i="5" s="1" a="1"/>
  <c r="A147" i="5" s="1"/>
  <c r="P155" i="4"/>
  <c r="A155" i="5" s="1" a="1"/>
  <c r="A155" i="5" s="1"/>
  <c r="P163" i="4"/>
  <c r="A163" i="5" s="1" a="1"/>
  <c r="A163" i="5" s="1"/>
  <c r="P171" i="4"/>
  <c r="A171" i="5" s="1" a="1"/>
  <c r="A171" i="5" s="1"/>
  <c r="P179" i="4"/>
  <c r="A179" i="5" s="1" a="1"/>
  <c r="A179" i="5" s="1"/>
  <c r="P187" i="4"/>
  <c r="A187" i="5" s="1" a="1"/>
  <c r="A187" i="5" s="1"/>
  <c r="P195" i="4"/>
  <c r="A195" i="5" s="1" a="1"/>
  <c r="A195" i="5" s="1"/>
  <c r="P4" i="4"/>
  <c r="A4" i="5" s="1" a="1"/>
  <c r="A4" i="5" s="1"/>
  <c r="P12" i="4"/>
  <c r="A12" i="5" s="1" a="1"/>
  <c r="A12" i="5" s="1"/>
  <c r="P20" i="4"/>
  <c r="A20" i="5" s="1" a="1"/>
  <c r="A20" i="5" s="1"/>
  <c r="P28" i="4"/>
  <c r="A28" i="5" s="1" a="1"/>
  <c r="A28" i="5" s="1"/>
  <c r="P36" i="4"/>
  <c r="A36" i="5" s="1" a="1"/>
  <c r="A36" i="5" s="1"/>
  <c r="P44" i="4"/>
  <c r="A44" i="5" s="1" a="1"/>
  <c r="A44" i="5" s="1"/>
  <c r="P52" i="4"/>
  <c r="A52" i="5" s="1" a="1"/>
  <c r="A52" i="5" s="1"/>
  <c r="P60" i="4"/>
  <c r="A60" i="5" s="1" a="1"/>
  <c r="A60" i="5" s="1"/>
  <c r="P68" i="4"/>
  <c r="A68" i="5" s="1" a="1"/>
  <c r="A68" i="5" s="1"/>
  <c r="P76" i="4"/>
  <c r="A76" i="5" s="1" a="1"/>
  <c r="A76" i="5" s="1"/>
  <c r="P84" i="4"/>
  <c r="A84" i="5" s="1" a="1"/>
  <c r="A84" i="5" s="1"/>
  <c r="P92" i="4"/>
  <c r="A92" i="5" s="1" a="1"/>
  <c r="A92" i="5" s="1"/>
  <c r="P100" i="4"/>
  <c r="A100" i="5" s="1" a="1"/>
  <c r="A100" i="5" s="1"/>
  <c r="P108" i="4"/>
  <c r="A108" i="5" s="1" a="1"/>
  <c r="A108" i="5" s="1"/>
  <c r="P116" i="4"/>
  <c r="A116" i="5" s="1" a="1"/>
  <c r="A116" i="5" s="1"/>
  <c r="P124" i="4"/>
  <c r="A124" i="5" s="1" a="1"/>
  <c r="A124" i="5" s="1"/>
  <c r="P132" i="4"/>
  <c r="A132" i="5" s="1" a="1"/>
  <c r="A132" i="5" s="1"/>
  <c r="P140" i="4"/>
  <c r="A140" i="5" s="1" a="1"/>
  <c r="A140" i="5" s="1"/>
  <c r="P148" i="4"/>
  <c r="A148" i="5" s="1" a="1"/>
  <c r="A148" i="5" s="1"/>
  <c r="P156" i="4"/>
  <c r="A156" i="5" s="1" a="1"/>
  <c r="A156" i="5" s="1"/>
  <c r="P164" i="4"/>
  <c r="A164" i="5" s="1" a="1"/>
  <c r="A164" i="5" s="1"/>
  <c r="P172" i="4"/>
  <c r="A172" i="5" s="1" a="1"/>
  <c r="A172" i="5" s="1"/>
  <c r="P180" i="4"/>
  <c r="A180" i="5" s="1" a="1"/>
  <c r="A180" i="5" s="1"/>
  <c r="P188" i="4"/>
  <c r="A188" i="5" s="1" a="1"/>
  <c r="A188" i="5" s="1"/>
  <c r="P196" i="4"/>
  <c r="A196" i="5" s="1" a="1"/>
  <c r="A196" i="5" s="1"/>
  <c r="P5" i="4"/>
  <c r="A5" i="5" s="1" a="1"/>
  <c r="A5" i="5" s="1"/>
  <c r="P13" i="4"/>
  <c r="A13" i="5" s="1" a="1"/>
  <c r="A13" i="5" s="1"/>
  <c r="P21" i="4"/>
  <c r="A21" i="5" s="1" a="1"/>
  <c r="A21" i="5" s="1"/>
  <c r="P29" i="4"/>
  <c r="A29" i="5" s="1" a="1"/>
  <c r="A29" i="5" s="1"/>
  <c r="P37" i="4"/>
  <c r="A37" i="5" s="1" a="1"/>
  <c r="A37" i="5" s="1"/>
  <c r="P45" i="4"/>
  <c r="A45" i="5" s="1" a="1"/>
  <c r="A45" i="5" s="1"/>
  <c r="P53" i="4"/>
  <c r="A53" i="5" s="1" a="1"/>
  <c r="A53" i="5" s="1"/>
  <c r="P61" i="4"/>
  <c r="A61" i="5" s="1" a="1"/>
  <c r="A61" i="5" s="1"/>
  <c r="P69" i="4"/>
  <c r="A69" i="5" s="1" a="1"/>
  <c r="A69" i="5" s="1"/>
  <c r="P77" i="4"/>
  <c r="A77" i="5" s="1" a="1"/>
  <c r="A77" i="5" s="1"/>
  <c r="P85" i="4"/>
  <c r="A85" i="5" s="1" a="1"/>
  <c r="A85" i="5" s="1"/>
  <c r="P93" i="4"/>
  <c r="A93" i="5" s="1" a="1"/>
  <c r="A93" i="5" s="1"/>
  <c r="P101" i="4"/>
  <c r="A101" i="5" s="1" a="1"/>
  <c r="A101" i="5" s="1"/>
  <c r="P109" i="4"/>
  <c r="A109" i="5" s="1" a="1"/>
  <c r="A109" i="5" s="1"/>
  <c r="P117" i="4"/>
  <c r="A117" i="5" s="1" a="1"/>
  <c r="A117" i="5" s="1"/>
  <c r="P125" i="4"/>
  <c r="A125" i="5" s="1" a="1"/>
  <c r="A125" i="5" s="1"/>
  <c r="P133" i="4"/>
  <c r="A133" i="5" s="1" a="1"/>
  <c r="A133" i="5" s="1"/>
  <c r="P141" i="4"/>
  <c r="A141" i="5" s="1" a="1"/>
  <c r="A141" i="5" s="1"/>
  <c r="P149" i="4"/>
  <c r="A149" i="5" s="1" a="1"/>
  <c r="A149" i="5" s="1"/>
  <c r="P157" i="4"/>
  <c r="A157" i="5" s="1" a="1"/>
  <c r="A157" i="5" s="1"/>
  <c r="P165" i="4"/>
  <c r="A165" i="5" s="1" a="1"/>
  <c r="A165" i="5" s="1"/>
  <c r="P173" i="4"/>
  <c r="A173" i="5" s="1" a="1"/>
  <c r="A173" i="5" s="1"/>
  <c r="P181" i="4"/>
  <c r="A181" i="5" s="1" a="1"/>
  <c r="A181" i="5" s="1"/>
  <c r="P189" i="4"/>
  <c r="A189" i="5" s="1" a="1"/>
  <c r="A189" i="5" s="1"/>
  <c r="P197" i="4"/>
  <c r="A197" i="5" s="1" a="1"/>
  <c r="A197" i="5" s="1"/>
  <c r="P7" i="4"/>
  <c r="A7" i="5" s="1" a="1"/>
  <c r="A7" i="5" s="1"/>
  <c r="P15" i="4"/>
  <c r="A15" i="5" s="1" a="1"/>
  <c r="A15" i="5" s="1"/>
  <c r="P23" i="4"/>
  <c r="A23" i="5" s="1" a="1"/>
  <c r="A23" i="5" s="1"/>
  <c r="P31" i="4"/>
  <c r="A31" i="5" s="1" a="1"/>
  <c r="A31" i="5" s="1"/>
  <c r="P39" i="4"/>
  <c r="A39" i="5" s="1" a="1"/>
  <c r="A39" i="5" s="1"/>
  <c r="P47" i="4"/>
  <c r="A47" i="5" s="1" a="1"/>
  <c r="A47" i="5" s="1"/>
  <c r="P55" i="4"/>
  <c r="A55" i="5" s="1" a="1"/>
  <c r="A55" i="5" s="1"/>
  <c r="P63" i="4"/>
  <c r="A63" i="5" s="1" a="1"/>
  <c r="A63" i="5" s="1"/>
  <c r="P71" i="4"/>
  <c r="A71" i="5" s="1" a="1"/>
  <c r="A71" i="5" s="1"/>
  <c r="P79" i="4"/>
  <c r="A79" i="5" s="1" a="1"/>
  <c r="A79" i="5" s="1"/>
  <c r="P87" i="4"/>
  <c r="A87" i="5" s="1" a="1"/>
  <c r="A87" i="5" s="1"/>
  <c r="P95" i="4"/>
  <c r="A95" i="5" s="1" a="1"/>
  <c r="A95" i="5" s="1"/>
  <c r="P103" i="4"/>
  <c r="A103" i="5" s="1" a="1"/>
  <c r="A103" i="5" s="1"/>
  <c r="P111" i="4"/>
  <c r="A111" i="5" s="1" a="1"/>
  <c r="A111" i="5" s="1"/>
  <c r="P119" i="4"/>
  <c r="A119" i="5" s="1" a="1"/>
  <c r="A119" i="5" s="1"/>
  <c r="P127" i="4"/>
  <c r="A127" i="5" s="1" a="1"/>
  <c r="A127" i="5" s="1"/>
  <c r="P135" i="4"/>
  <c r="A135" i="5" s="1" a="1"/>
  <c r="A135" i="5" s="1"/>
  <c r="P143" i="4"/>
  <c r="A143" i="5" s="1" a="1"/>
  <c r="A143" i="5" s="1"/>
  <c r="P151" i="4"/>
  <c r="A151" i="5" s="1" a="1"/>
  <c r="A151" i="5" s="1"/>
  <c r="P159" i="4"/>
  <c r="A159" i="5" s="1" a="1"/>
  <c r="A159" i="5" s="1"/>
  <c r="P167" i="4"/>
  <c r="A167" i="5" s="1" a="1"/>
  <c r="A167" i="5" s="1"/>
  <c r="P175" i="4"/>
  <c r="A175" i="5" s="1" a="1"/>
  <c r="A175" i="5" s="1"/>
  <c r="P183" i="4"/>
  <c r="A183" i="5" s="1" a="1"/>
  <c r="A183" i="5" s="1"/>
  <c r="P191" i="4"/>
  <c r="A191" i="5" s="1" a="1"/>
  <c r="A191" i="5" s="1"/>
  <c r="P199" i="4"/>
  <c r="A199" i="5" s="1" a="1"/>
  <c r="A199" i="5" s="1"/>
  <c r="P8" i="4"/>
  <c r="A8" i="5" s="1" a="1"/>
  <c r="A8" i="5" s="1"/>
  <c r="P16" i="4"/>
  <c r="A16" i="5" s="1" a="1"/>
  <c r="A16" i="5" s="1"/>
  <c r="P24" i="4"/>
  <c r="A24" i="5" s="1" a="1"/>
  <c r="A24" i="5" s="1"/>
  <c r="P32" i="4"/>
  <c r="A32" i="5" s="1" a="1"/>
  <c r="A32" i="5" s="1"/>
  <c r="P40" i="4"/>
  <c r="A40" i="5" s="1" a="1"/>
  <c r="A40" i="5" s="1"/>
  <c r="P48" i="4"/>
  <c r="A48" i="5" s="1" a="1"/>
  <c r="A48" i="5" s="1"/>
  <c r="P56" i="4"/>
  <c r="A56" i="5" s="1" a="1"/>
  <c r="A56" i="5" s="1"/>
  <c r="P64" i="4"/>
  <c r="A64" i="5" s="1" a="1"/>
  <c r="A64" i="5" s="1"/>
  <c r="P72" i="4"/>
  <c r="A72" i="5" s="1" a="1"/>
  <c r="A72" i="5" s="1"/>
  <c r="P80" i="4"/>
  <c r="A80" i="5" s="1" a="1"/>
  <c r="A80" i="5" s="1"/>
  <c r="P88" i="4"/>
  <c r="A88" i="5" s="1" a="1"/>
  <c r="A88" i="5" s="1"/>
  <c r="P96" i="4"/>
  <c r="A96" i="5" s="1" a="1"/>
  <c r="A96" i="5" s="1"/>
  <c r="P104" i="4"/>
  <c r="A104" i="5" s="1" a="1"/>
  <c r="A104" i="5" s="1"/>
  <c r="P112" i="4"/>
  <c r="A112" i="5" s="1" a="1"/>
  <c r="A112" i="5" s="1"/>
  <c r="P120" i="4"/>
  <c r="A120" i="5" s="1" a="1"/>
  <c r="A120" i="5" s="1"/>
  <c r="P128" i="4"/>
  <c r="A128" i="5" s="1" a="1"/>
  <c r="A128" i="5" s="1"/>
  <c r="P136" i="4"/>
  <c r="A136" i="5" s="1" a="1"/>
  <c r="A136" i="5" s="1"/>
  <c r="P144" i="4"/>
  <c r="A144" i="5" s="1" a="1"/>
  <c r="A144" i="5" s="1"/>
  <c r="P152" i="4"/>
  <c r="A152" i="5" s="1" a="1"/>
  <c r="A152" i="5" s="1"/>
  <c r="P160" i="4"/>
  <c r="A160" i="5" s="1" a="1"/>
  <c r="A160" i="5" s="1"/>
  <c r="P168" i="4"/>
  <c r="A168" i="5" s="1" a="1"/>
  <c r="A168" i="5" s="1"/>
  <c r="P176" i="4"/>
  <c r="A176" i="5" s="1" a="1"/>
  <c r="A176" i="5" s="1"/>
  <c r="P184" i="4"/>
  <c r="A184" i="5" s="1" a="1"/>
  <c r="A184" i="5" s="1"/>
  <c r="P192" i="4"/>
  <c r="A192" i="5" s="1" a="1"/>
  <c r="A192" i="5" s="1"/>
  <c r="P200" i="4"/>
  <c r="A200" i="5" s="1" a="1"/>
  <c r="A200" i="5" s="1"/>
  <c r="P14" i="4"/>
  <c r="A14" i="5" s="1" a="1"/>
  <c r="A14" i="5" s="1"/>
  <c r="P46" i="4"/>
  <c r="A46" i="5" s="1" a="1"/>
  <c r="A46" i="5" s="1"/>
  <c r="P78" i="4"/>
  <c r="A78" i="5" s="1" a="1"/>
  <c r="A78" i="5" s="1"/>
  <c r="P110" i="4"/>
  <c r="A110" i="5" s="1" a="1"/>
  <c r="A110" i="5" s="1"/>
  <c r="P142" i="4"/>
  <c r="A142" i="5" s="1" a="1"/>
  <c r="A142" i="5" s="1"/>
  <c r="P174" i="4"/>
  <c r="A174" i="5" s="1" a="1"/>
  <c r="A174" i="5" s="1"/>
  <c r="P190" i="4"/>
  <c r="A190" i="5" s="1" a="1"/>
  <c r="A190" i="5" s="1"/>
  <c r="P129" i="4"/>
  <c r="A129" i="5" s="1" a="1"/>
  <c r="A129" i="5" s="1"/>
  <c r="P70" i="4"/>
  <c r="A70" i="5" s="1" a="1"/>
  <c r="A70" i="5" s="1"/>
  <c r="P17" i="4"/>
  <c r="A17" i="5" s="1" a="1"/>
  <c r="A17" i="5" s="1"/>
  <c r="P49" i="4"/>
  <c r="A49" i="5" s="1" a="1"/>
  <c r="A49" i="5" s="1"/>
  <c r="P81" i="4"/>
  <c r="A81" i="5" s="1" a="1"/>
  <c r="A81" i="5" s="1"/>
  <c r="P113" i="4"/>
  <c r="A113" i="5" s="1" a="1"/>
  <c r="A113" i="5" s="1"/>
  <c r="P145" i="4"/>
  <c r="A145" i="5" s="1" a="1"/>
  <c r="A145" i="5" s="1"/>
  <c r="P177" i="4"/>
  <c r="A177" i="5" s="1" a="1"/>
  <c r="A177" i="5" s="1"/>
  <c r="P30" i="4"/>
  <c r="A30" i="5" s="1" a="1"/>
  <c r="A30" i="5" s="1"/>
  <c r="P126" i="4"/>
  <c r="A126" i="5" s="1" a="1"/>
  <c r="A126" i="5" s="1"/>
  <c r="P33" i="4"/>
  <c r="A33" i="5" s="1" a="1"/>
  <c r="A33" i="5" s="1"/>
  <c r="P97" i="4"/>
  <c r="A97" i="5" s="1" a="1"/>
  <c r="A97" i="5" s="1"/>
  <c r="P161" i="4"/>
  <c r="A161" i="5" s="1" a="1"/>
  <c r="A161" i="5" s="1"/>
  <c r="P193" i="4"/>
  <c r="A193" i="5" s="1" a="1"/>
  <c r="A193" i="5" s="1"/>
  <c r="P102" i="4"/>
  <c r="A102" i="5" s="1" a="1"/>
  <c r="A102" i="5" s="1"/>
  <c r="P105" i="4"/>
  <c r="A105" i="5" s="1" a="1"/>
  <c r="A105" i="5" s="1"/>
  <c r="P22" i="4"/>
  <c r="A22" i="5" s="1" a="1"/>
  <c r="A22" i="5" s="1"/>
  <c r="P54" i="4"/>
  <c r="A54" i="5" s="1" a="1"/>
  <c r="A54" i="5" s="1"/>
  <c r="P86" i="4"/>
  <c r="A86" i="5" s="1" a="1"/>
  <c r="A86" i="5" s="1"/>
  <c r="P118" i="4"/>
  <c r="A118" i="5" s="1" a="1"/>
  <c r="A118" i="5" s="1"/>
  <c r="P150" i="4"/>
  <c r="A150" i="5" s="1" a="1"/>
  <c r="A150" i="5" s="1"/>
  <c r="P182" i="4"/>
  <c r="A182" i="5" s="1" a="1"/>
  <c r="A182" i="5" s="1"/>
  <c r="P25" i="4"/>
  <c r="A25" i="5" s="1" a="1"/>
  <c r="A25" i="5" s="1"/>
  <c r="P57" i="4"/>
  <c r="A57" i="5" s="1" a="1"/>
  <c r="A57" i="5" s="1"/>
  <c r="P89" i="4"/>
  <c r="A89" i="5" s="1" a="1"/>
  <c r="A89" i="5" s="1"/>
  <c r="P121" i="4"/>
  <c r="A121" i="5" s="1" a="1"/>
  <c r="A121" i="5" s="1"/>
  <c r="P153" i="4"/>
  <c r="A153" i="5" s="1" a="1"/>
  <c r="A153" i="5" s="1"/>
  <c r="P185" i="4"/>
  <c r="A185" i="5" s="1" a="1"/>
  <c r="A185" i="5" s="1"/>
  <c r="P94" i="4"/>
  <c r="A94" i="5" s="1" a="1"/>
  <c r="A94" i="5" s="1"/>
  <c r="P65" i="4"/>
  <c r="A65" i="5" s="1" a="1"/>
  <c r="A65" i="5" s="1"/>
  <c r="P38" i="4"/>
  <c r="A38" i="5" s="1" a="1"/>
  <c r="A38" i="5" s="1"/>
  <c r="P166" i="4"/>
  <c r="A166" i="5" s="1" a="1"/>
  <c r="A166" i="5" s="1"/>
  <c r="P41" i="4"/>
  <c r="A41" i="5" s="1" a="1"/>
  <c r="A41" i="5" s="1"/>
  <c r="P169" i="4"/>
  <c r="A169" i="5" s="1" a="1"/>
  <c r="A169" i="5" s="1"/>
  <c r="P62" i="4"/>
  <c r="A62" i="5" s="1" a="1"/>
  <c r="A62" i="5" s="1"/>
  <c r="P158" i="4"/>
  <c r="A158" i="5" s="1" a="1"/>
  <c r="A158" i="5" s="1"/>
  <c r="P6" i="4"/>
  <c r="A6" i="5" s="1" a="1"/>
  <c r="A6" i="5" s="1"/>
  <c r="P134" i="4"/>
  <c r="A134" i="5" s="1" a="1"/>
  <c r="A134" i="5" s="1"/>
  <c r="P198" i="4"/>
  <c r="A198" i="5" s="1" a="1"/>
  <c r="A198" i="5" s="1"/>
  <c r="P9" i="4"/>
  <c r="A9" i="5" s="1" a="1"/>
  <c r="A9" i="5" s="1"/>
  <c r="P73" i="4"/>
  <c r="A73" i="5" s="1" a="1"/>
  <c r="A73" i="5" s="1"/>
  <c r="P137" i="4"/>
  <c r="A137" i="5" s="1" a="1"/>
  <c r="A137" i="5" s="1"/>
  <c r="P2" i="4"/>
  <c r="R16" i="4" l="1"/>
  <c r="A2" i="5" a="1"/>
  <c r="A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8F0F77-FA57-4166-9848-8055CD3458E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F95E725-95C6-4080-9695-71338964C74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9AC184B9-4247-4BA5-9FCB-1E01A26C70E8}" keepAlive="1" name="Query - Table1_1 (2)" description="Connection to the 'Table1_1 (2)' query in the workbook." type="5" refreshedVersion="8" background="1" saveData="1">
    <dbPr connection="Provider=Microsoft.Mashup.OleDb.1;Data Source=$Workbook$;Location=&quot;Table1_1 (2)&quot;;Extended Properties=&quot;&quot;" command="SELECT * FROM [Table1_1 (2)]"/>
  </connection>
  <connection id="4" xr16:uid="{56B5BA48-E7FB-48C9-9521-F8B62E5BFA9E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5" xr16:uid="{7E5421AB-6C1D-413D-86C0-E79E8B3A5896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<sst xmlns="http://schemas.openxmlformats.org/spreadsheetml/2006/main" count="1625" uniqueCount="66">
  <si>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</si>
  <si>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</si>
  <si>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</si>
  <si>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</si>
  <si>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</si>
  <si>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</si>
  <si>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</si>
  <si>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</si>
  <si>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</si>
  <si>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</si>
  <si>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</si>
  <si>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</si>
  <si>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</si>
  <si>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</si>
  <si>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</si>
  <si>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</si>
  <si>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</si>
  <si>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</si>
  <si>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semi-furnishingstatus</t>
  </si>
  <si>
    <t>Median</t>
  </si>
  <si>
    <t>Mean</t>
  </si>
  <si>
    <t>Q1</t>
  </si>
  <si>
    <t>Q3</t>
  </si>
  <si>
    <t>IQR</t>
  </si>
  <si>
    <t>LOWER BOUND</t>
  </si>
  <si>
    <t>UPPER BOUND</t>
  </si>
  <si>
    <t>Outliar finding</t>
  </si>
  <si>
    <t>count outliars</t>
  </si>
  <si>
    <t/>
  </si>
  <si>
    <t>Random</t>
  </si>
  <si>
    <t>Random (values)</t>
  </si>
  <si>
    <t>Dataset</t>
  </si>
  <si>
    <t>Testing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</si>
  <si>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</si>
  <si>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</si>
  <si>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</si>
  <si>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</si>
  <si>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</si>
  <si>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</si>
  <si>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</si>
  <si>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</si>
  <si>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</si>
  <si>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</si>
  <si>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</si>
  <si>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</si>
  <si>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</si>
  <si>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</si>
  <si>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</si>
  <si>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</si>
  <si>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</si>
  <si>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</si>
  <si>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</si>
  <si>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</si>
  <si>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</si>
  <si>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</si>
  <si>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</si>
  <si>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</si>
  <si>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predicted_price</t>
  </si>
  <si>
    <t>Error</t>
  </si>
  <si>
    <t>Absolute_Error</t>
  </si>
  <si>
    <t>Squared_Error</t>
  </si>
  <si>
    <t>MAE</t>
  </si>
  <si>
    <t>MSE</t>
  </si>
  <si>
    <t>RMSE</t>
  </si>
  <si>
    <t>R²</t>
  </si>
  <si>
    <t>T O T 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</si>
</sst>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charset val="18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Alignment="1">
      <alignment textRotation="90"/>
    </xf>
    <xf numFmtId="0" fontId="0" fillId="0" borderId="15" xfId="0" applyBorder="1" applyAlignment="1">
      <alignment vertical="center" textRotation="90"/>
    </xf>
    <xf numFmtId="0" fontId="0" fillId="0" borderId="16" xfId="0" applyBorder="1" applyAlignment="1">
      <alignment vertical="center" textRotation="90"/>
    </xf>
    <xf numFmtId="0" fontId="0" fillId="0" borderId="17" xfId="0" applyBorder="1" applyAlignment="1">
      <alignment vertical="center" textRotation="90"/>
    </xf>
    <xf numFmtId="0" fontId="0" fillId="0" borderId="18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8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 vertical="center"/>
    </xf>
    <xf numFmtId="0" fontId="0" fillId="0" borderId="0" xfId="0" applyBorder="1" applyAlignment="1">
      <alignment vertical="center" textRotation="90"/>
    </xf>
    <xf numFmtId="0" fontId="0" fillId="0" borderId="0" xfId="0" applyBorder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textRotation="90"/>
    </xf>
    <xf numFmtId="0" fontId="20" fillId="0" borderId="0" xfId="0" applyFont="1" applyAlignment="1">
      <alignment vertical="center"/>
    </xf>
    <xf numFmtId="0" fontId="20" fillId="34" borderId="12" xfId="0" applyFont="1" applyFill="1" applyBorder="1" applyAlignment="1">
      <alignment vertical="center"/>
    </xf>
    <xf numFmtId="0" fontId="13" fillId="33" borderId="10" xfId="0" applyFont="1" applyFill="1" applyBorder="1" applyAlignment="1">
      <alignment horizontal="center" vertical="center" textRotation="90"/>
    </xf>
    <xf numFmtId="0" fontId="13" fillId="33" borderId="11" xfId="0" applyFont="1" applyFill="1" applyBorder="1" applyAlignment="1">
      <alignment horizontal="center" vertical="center" textRotation="90"/>
    </xf>
    <xf numFmtId="0" fontId="19" fillId="33" borderId="11" xfId="0" applyFont="1" applyFill="1" applyBorder="1" applyAlignment="1">
      <alignment horizontal="center" vertical="center" textRotation="90"/>
    </xf>
    <xf numFmtId="0" fontId="13" fillId="33" borderId="12" xfId="0" applyFont="1" applyFill="1" applyBorder="1" applyAlignment="1">
      <alignment horizontal="center" vertical="center" textRotation="90"/>
    </xf>
    <xf numFmtId="0" fontId="0" fillId="0" borderId="0" xfId="0" applyFill="1" applyBorder="1" applyAlignment="1"/>
    <xf numFmtId="0" fontId="0" fillId="0" borderId="23" xfId="0" applyFill="1" applyBorder="1" applyAlignment="1"/>
    <xf numFmtId="0" fontId="21" fillId="0" borderId="24" xfId="0" applyFont="1" applyFill="1" applyBorder="1" applyAlignment="1">
      <alignment horizontal="center"/>
    </xf>
    <xf numFmtId="0" fontId="21" fillId="0" borderId="24" xfId="0" applyFont="1" applyFill="1" applyBorder="1" applyAlignment="1">
      <alignment horizontal="centerContinuous"/>
    </xf>
    <xf numFmtId="2" fontId="0" fillId="0" borderId="0" xfId="0" applyNumberFormat="1"/>
    <xf numFmtId="2" fontId="18" fillId="0" borderId="13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numFmt numFmtId="0" formatCode="General"/>
    </dxf>
    <dxf>
      <alignment horizontal="center" vertical="center" textRotation="9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rgb="FFFFFFFF"/>
        </top>
      </border>
    </dxf>
    <dxf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>
        <bottom style="thin">
          <color rgb="FFFFFFFF"/>
        </bottom>
      </border>
    </dxf>
    <dxf>
      <alignment horizontal="general" vertical="center" textRotation="9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alignment horizontal="general" vertical="center" textRotation="9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14A4CF9-07DB-4589-8CAD-81EE3A0485C4}" autoFormatId="16" applyNumberFormats="0" applyBorderFormats="0" applyFontFormats="0" applyPatternFormats="0" applyAlignmentFormats="0" applyWidthHeightFormats="0">
  <queryTableRefresh nextId="15">
    <queryTableFields count="14">
      <queryTableField id="1" name="price" tableColumnId="1"/>
      <queryTableField id="2" name="area" tableColumnId="2"/>
      <queryTableField id="3" name="bedrooms" tableColumnId="3"/>
      <queryTableField id="4" name="bathrooms" tableColumnId="4"/>
      <queryTableField id="5" name="stories" tableColumnId="5"/>
      <queryTableField id="6" name="mainroad" tableColumnId="6"/>
      <queryTableField id="7" name="guestroom" tableColumnId="7"/>
      <queryTableField id="8" name="basement" tableColumnId="8"/>
      <queryTableField id="9" name="hotwaterheating" tableColumnId="9"/>
      <queryTableField id="10" name="airconditioning" tableColumnId="10"/>
      <queryTableField id="11" name="parking" tableColumnId="11"/>
      <queryTableField id="12" name="prefarea" tableColumnId="12"/>
      <queryTableField id="13" name="furnishingstatus" tableColumnId="13"/>
      <queryTableField id="14" name="semi-furnishingstatu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13B12A6-FCF2-4A9C-8725-9C75E747D06F}" autoFormatId="16" applyNumberFormats="0" applyBorderFormats="0" applyFontFormats="0" applyPatternFormats="0" applyAlignmentFormats="0" applyWidthHeightFormats="0">
  <queryTableRefresh nextId="15">
    <queryTableFields count="14">
      <queryTableField id="1" name="price" tableColumnId="1"/>
      <queryTableField id="2" name="area" tableColumnId="2"/>
      <queryTableField id="3" name="bedrooms" tableColumnId="3"/>
      <queryTableField id="4" name="bathrooms" tableColumnId="4"/>
      <queryTableField id="5" name="stories" tableColumnId="5"/>
      <queryTableField id="6" name="mainroad" tableColumnId="6"/>
      <queryTableField id="7" name="guestroom" tableColumnId="7"/>
      <queryTableField id="8" name="basement" tableColumnId="8"/>
      <queryTableField id="9" name="hotwaterheating" tableColumnId="9"/>
      <queryTableField id="10" name="airconditioning" tableColumnId="10"/>
      <queryTableField id="11" name="parking" tableColumnId="11"/>
      <queryTableField id="12" name="prefarea" tableColumnId="12"/>
      <queryTableField id="13" name="furnishingstatus" tableColumnId="13"/>
      <queryTableField id="14" name="semi-furnishingstatu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B29FAD5-261E-4ED3-BE19-F51CDF8697F4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price" tableColumnId="1"/>
      <queryTableField id="2" name="area" tableColumnId="2"/>
      <queryTableField id="3" name="bedrooms" tableColumnId="3"/>
      <queryTableField id="4" name="bathrooms" tableColumnId="4"/>
      <queryTableField id="5" name="stories" tableColumnId="5"/>
      <queryTableField id="6" name="mainroad" tableColumnId="6"/>
      <queryTableField id="7" name="guestroom" tableColumnId="7"/>
      <queryTableField id="8" name="basement" tableColumnId="8"/>
      <queryTableField id="9" name="hotwaterheating" tableColumnId="9"/>
      <queryTableField id="10" name="airconditioning" tableColumnId="10"/>
      <queryTableField id="11" name="parking" tableColumnId="11"/>
      <queryTableField id="12" name="prefarea" tableColumnId="12"/>
      <queryTableField id="13" name="furnishingstatus" tableColumnId="13"/>
      <queryTableField id="14" name="semi-furnishingstatus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19CD0-7B17-4616-8266-5ACAE1A614BD}" name="Table1" displayName="Table1" ref="A1:M201" totalsRowShown="0">
  <autoFilter ref="A1:M201" xr:uid="{5DE19CD0-7B17-4616-8266-5ACAE1A614BD}"/>
  <tableColumns count="13">
    <tableColumn id="1" xr3:uid="{C9BB4CFC-FF73-4100-B605-ACA8DB24977F}" name="price"/>
    <tableColumn id="2" xr3:uid="{8C1F02A0-1866-4889-8841-9D2D0F941781}" name="area"/>
    <tableColumn id="3" xr3:uid="{616D2B63-3A25-49AF-B760-53716B8C06FF}" name="bedrooms"/>
    <tableColumn id="4" xr3:uid="{D49E8096-355F-4CDC-B216-27F44A77DA26}" name="bathrooms"/>
    <tableColumn id="5" xr3:uid="{3A347AC2-2F2D-4F13-8511-56A1C850BCEC}" name="stories"/>
    <tableColumn id="6" xr3:uid="{4948EB38-0CF7-472D-A0B9-8D62FFB8D0FF}" name="mainroad"/>
    <tableColumn id="7" xr3:uid="{D829D401-CBA3-4593-9EC2-48D366EBA35F}" name="guestroom"/>
    <tableColumn id="8" xr3:uid="{7E8A175C-1C0B-4477-9943-4E4F431F8EB7}" name="basement"/>
    <tableColumn id="9" xr3:uid="{8F3B4836-AD85-4AD2-AD26-E30BC39B0210}" name="hotwaterheating"/>
    <tableColumn id="10" xr3:uid="{E7BD891D-6700-4C03-9D90-F95F9B542408}" name="airconditioning"/>
    <tableColumn id="11" xr3:uid="{3C3A0730-2E00-48A1-BDB3-85F2D39BF002}" name="parking"/>
    <tableColumn id="12" xr3:uid="{1D8392A8-E644-4393-8EFC-6AFDDF36C15B}" name="prefarea"/>
    <tableColumn id="13" xr3:uid="{9F2B2D85-A4BD-45DD-8847-7B9E40121F92}" name="furnishing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951FFF-7814-4D73-B840-4F9F99927ADC}" name="Table1_2" displayName="Table1_2" ref="A1:N201" tableType="queryTable" totalsRowShown="0" headerRowDxfId="38" headerRowBorderDxfId="37" tableBorderDxfId="36" totalsRowBorderDxfId="35">
  <autoFilter ref="A1:N201" xr:uid="{C3951FFF-7814-4D73-B840-4F9F99927ADC}"/>
  <tableColumns count="14">
    <tableColumn id="1" xr3:uid="{D80AE67B-B108-41CE-A66E-5E87B174181C}" uniqueName="1" name="price" queryTableFieldId="1" dataDxfId="34"/>
    <tableColumn id="2" xr3:uid="{4D649D9A-C8B5-45ED-94A0-E7A3EC22ED54}" uniqueName="2" name="area" queryTableFieldId="2" dataDxfId="33"/>
    <tableColumn id="3" xr3:uid="{F1A11183-2106-4714-9833-6D9CEC7D7A2C}" uniqueName="3" name="bedrooms" queryTableFieldId="3" dataDxfId="32"/>
    <tableColumn id="4" xr3:uid="{DFE3F830-0614-41FD-8881-FEC732C50889}" uniqueName="4" name="bathrooms" queryTableFieldId="4" dataDxfId="31"/>
    <tableColumn id="5" xr3:uid="{0DC4FBE6-0068-4A53-8752-18D6C6A398B7}" uniqueName="5" name="stories" queryTableFieldId="5" dataDxfId="30"/>
    <tableColumn id="6" xr3:uid="{01CEBFA7-49E7-44EE-B3A0-E4E5739E768E}" uniqueName="6" name="mainroad" queryTableFieldId="6" dataDxfId="29"/>
    <tableColumn id="7" xr3:uid="{7839D219-1D30-4E29-AB6C-37C851B9DD36}" uniqueName="7" name="guestroom" queryTableFieldId="7" dataDxfId="28"/>
    <tableColumn id="8" xr3:uid="{E5FA2DFE-6EA7-48C1-A2F9-B84A0407BE5C}" uniqueName="8" name="basement" queryTableFieldId="8" dataDxfId="27"/>
    <tableColumn id="9" xr3:uid="{A66FFB58-56ED-442A-BAA0-FB6FAE14A8BC}" uniqueName="9" name="hotwaterheating" queryTableFieldId="9" dataDxfId="26"/>
    <tableColumn id="10" xr3:uid="{984BCD68-1162-4002-B25A-D9FAC5C2E614}" uniqueName="10" name="airconditioning" queryTableFieldId="10" dataDxfId="25"/>
    <tableColumn id="11" xr3:uid="{6862B9B9-B4BA-4E89-A35F-2C25A140047B}" uniqueName="11" name="parking" queryTableFieldId="11" dataDxfId="24"/>
    <tableColumn id="12" xr3:uid="{62E30866-EBF6-448F-BDF0-9341939D01FF}" uniqueName="12" name="prefarea" queryTableFieldId="12" dataDxfId="23"/>
    <tableColumn id="13" xr3:uid="{1D6F6C06-758E-4A26-B16B-167FB37AB3D6}" uniqueName="13" name="furnishingstatus" queryTableFieldId="13" dataDxfId="22"/>
    <tableColumn id="14" xr3:uid="{41EA3202-8E94-421C-A3D2-8F9B2E52F196}" uniqueName="14" name="semi-furnishingstatus" queryTableFieldId="14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77105A-DDD7-44B3-89BF-0A70E2F601FB}" name="Table1_25" displayName="Table1_25" ref="A1:N201" tableType="queryTable" totalsRowShown="0" headerRowDxfId="20" headerRowBorderDxfId="19" tableBorderDxfId="18" totalsRowBorderDxfId="17">
  <autoFilter ref="A1:N201" xr:uid="{C3951FFF-7814-4D73-B840-4F9F99927ADC}"/>
  <tableColumns count="14">
    <tableColumn id="1" xr3:uid="{D348C415-905D-4F46-83F5-34CB4091BEC3}" uniqueName="1" name="price" queryTableFieldId="1" dataDxfId="16"/>
    <tableColumn id="2" xr3:uid="{DD9D859B-0B32-44F4-990F-A57AAFF13C11}" uniqueName="2" name="area" queryTableFieldId="2" dataDxfId="15"/>
    <tableColumn id="3" xr3:uid="{44752501-A68E-4FF0-9D40-C73F9C565BAE}" uniqueName="3" name="bedrooms" queryTableFieldId="3" dataDxfId="14"/>
    <tableColumn id="4" xr3:uid="{5FA635DC-31C9-4416-8304-832E61E19C5E}" uniqueName="4" name="bathrooms" queryTableFieldId="4" dataDxfId="13"/>
    <tableColumn id="5" xr3:uid="{BF904A9D-AF2C-4024-A3D4-72DB0DF23C34}" uniqueName="5" name="stories" queryTableFieldId="5" dataDxfId="12"/>
    <tableColumn id="6" xr3:uid="{D682BBDF-B082-4EE2-94BB-246893202EDF}" uniqueName="6" name="mainroad" queryTableFieldId="6" dataDxfId="11"/>
    <tableColumn id="7" xr3:uid="{3D94E7BA-8D3A-439A-A47D-EFDBF79D0A08}" uniqueName="7" name="guestroom" queryTableFieldId="7" dataDxfId="10"/>
    <tableColumn id="8" xr3:uid="{25E1D17D-450D-497D-AFB8-E4A8ED7045E4}" uniqueName="8" name="basement" queryTableFieldId="8" dataDxfId="9"/>
    <tableColumn id="9" xr3:uid="{ED72A867-3E6B-4990-8426-7D6387EBEED7}" uniqueName="9" name="hotwaterheating" queryTableFieldId="9" dataDxfId="8"/>
    <tableColumn id="10" xr3:uid="{EB30E734-0225-40A2-960E-5F24705E0672}" uniqueName="10" name="airconditioning" queryTableFieldId="10" dataDxfId="7"/>
    <tableColumn id="11" xr3:uid="{D7A7F724-D345-499C-93CC-AE73B0004742}" uniqueName="11" name="parking" queryTableFieldId="11" dataDxfId="6"/>
    <tableColumn id="12" xr3:uid="{D76FB6D0-AF0B-42A7-BA4C-D08421F1F058}" uniqueName="12" name="prefarea" queryTableFieldId="12" dataDxfId="5"/>
    <tableColumn id="13" xr3:uid="{94BCBAEF-FC80-4F83-8574-5CEAD951CDD0}" uniqueName="13" name="furnishingstatus" queryTableFieldId="13" dataDxfId="4"/>
    <tableColumn id="14" xr3:uid="{FD3A0438-126C-4AB4-87DB-6CF42BD633C5}" uniqueName="14" name="semi-furnishingstatus" queryTableFieldId="14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B7D5C8-F0AC-45E5-A8EC-45ECA45DDC04}" name="Table8" displayName="Table8" ref="A1:N201" totalsRowShown="0" headerRowDxfId="2">
  <autoFilter ref="A1:N201" xr:uid="{4CB7D5C8-F0AC-45E5-A8EC-45ECA45DDC04}"/>
  <tableColumns count="14">
    <tableColumn id="1" xr3:uid="{B6046E0B-D279-44D7-9BAE-FA41F07618C6}" name="price"/>
    <tableColumn id="2" xr3:uid="{C6543AFE-0C8F-46F8-9175-A3DCC67E1693}" name="area"/>
    <tableColumn id="3" xr3:uid="{67B58E9A-1A0B-4D2D-9C87-E9A0DB18F829}" name="bedrooms"/>
    <tableColumn id="4" xr3:uid="{66B2475F-8F89-4836-B39F-A11976A8E04F}" name="bathrooms"/>
    <tableColumn id="5" xr3:uid="{7EDF572F-E908-43E6-867E-6769A48A1750}" name="stories"/>
    <tableColumn id="6" xr3:uid="{FECDC027-CDEF-4CCB-816B-609B8A34B185}" name="mainroad"/>
    <tableColumn id="7" xr3:uid="{3392737D-293E-475F-95E4-243D5A0AA68C}" name="guestroom"/>
    <tableColumn id="8" xr3:uid="{3068C0DD-BBC5-44AE-9B8C-5275993EBA61}" name="basement"/>
    <tableColumn id="9" xr3:uid="{7017EAA0-8C55-44F2-9A95-CAA67801E813}" name="hotwaterheating"/>
    <tableColumn id="10" xr3:uid="{4106111A-A33B-438E-97BE-47DB5CEC0EAA}" name="airconditioning"/>
    <tableColumn id="11" xr3:uid="{49EFE507-2E69-41EE-B1D5-8C85CE91864E}" name="parking"/>
    <tableColumn id="12" xr3:uid="{05BF4FED-32DB-4304-93DA-B345E4B238D1}" name="prefarea"/>
    <tableColumn id="13" xr3:uid="{B00658FC-40E2-4AB6-9663-7E76DF4EF53B}" name="furnishingstatus"/>
    <tableColumn id="14" xr3:uid="{8D0941D6-A897-4FA7-BBAF-BB18C7D6C120}" name="semi-furnishing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8D74B8-2801-48AD-9F06-3FF753E251A8}" name="Table8_1" displayName="Table8_1" ref="A1:Q167" tableType="queryTable" totalsRowShown="0" headerRowDxfId="1">
  <autoFilter ref="A1:Q167" xr:uid="{F78D74B8-2801-48AD-9F06-3FF753E251A8}"/>
  <sortState xmlns:xlrd2="http://schemas.microsoft.com/office/spreadsheetml/2017/richdata2" ref="A2:P167">
    <sortCondition ref="O2:O167"/>
  </sortState>
  <tableColumns count="17">
    <tableColumn id="1" xr3:uid="{68E475D2-641D-4E8F-9652-E698031CE8B0}" uniqueName="1" name="price" queryTableFieldId="1"/>
    <tableColumn id="2" xr3:uid="{BE132600-1699-4FB8-AAC4-41D6628196C9}" uniqueName="2" name="area" queryTableFieldId="2"/>
    <tableColumn id="3" xr3:uid="{1B82134E-9CB2-4F97-A147-20666D0C530D}" uniqueName="3" name="bedrooms" queryTableFieldId="3"/>
    <tableColumn id="4" xr3:uid="{E7106A23-A08F-4C53-8847-0E5F8FC36A95}" uniqueName="4" name="bathrooms" queryTableFieldId="4"/>
    <tableColumn id="5" xr3:uid="{ECD1C03F-3805-41B4-A548-8B0D1438E004}" uniqueName="5" name="stories" queryTableFieldId="5"/>
    <tableColumn id="6" xr3:uid="{EA89790F-4BB5-4C45-A6F4-5D6EAF6D04BD}" uniqueName="6" name="mainroad" queryTableFieldId="6"/>
    <tableColumn id="7" xr3:uid="{313C0D7D-3D9E-48C1-BE93-C597E4674639}" uniqueName="7" name="guestroom" queryTableFieldId="7"/>
    <tableColumn id="8" xr3:uid="{F60B6882-A40A-42E2-8A33-A78B473F6F40}" uniqueName="8" name="basement" queryTableFieldId="8"/>
    <tableColumn id="9" xr3:uid="{5D070752-1EF9-4AE6-92B3-4207E3290D0A}" uniqueName="9" name="hotwaterheating" queryTableFieldId="9"/>
    <tableColumn id="10" xr3:uid="{5D7B4972-4CC9-4E7E-829B-E79B6B27628C}" uniqueName="10" name="airconditioning" queryTableFieldId="10"/>
    <tableColumn id="11" xr3:uid="{1B38D966-C788-4D2D-9C6D-DCE1DD05F4F5}" uniqueName="11" name="parking" queryTableFieldId="11"/>
    <tableColumn id="12" xr3:uid="{5873E3AA-E372-44AC-9686-4A4C38CECF1F}" uniqueName="12" name="prefarea" queryTableFieldId="12"/>
    <tableColumn id="13" xr3:uid="{BD19894E-0E0D-4F63-A48A-2C4DFC6ED8C7}" uniqueName="13" name="furnishingstatus" queryTableFieldId="13"/>
    <tableColumn id="14" xr3:uid="{EB616EDF-382D-4A90-A11C-3C1E807BD72D}" uniqueName="14" name="semi-furnishingstatus" queryTableFieldId="14"/>
    <tableColumn id="15" xr3:uid="{50065456-1FB0-4044-A0A5-D9127EEB0507}" uniqueName="15" name="Random" queryTableFieldId="15">
      <calculatedColumnFormula>RAND()</calculatedColumnFormula>
    </tableColumn>
    <tableColumn id="16" xr3:uid="{4B0C3157-52B0-4923-89CF-E2C50E83E71E}" uniqueName="16" name="Random (values)" queryTableFieldId="16"/>
    <tableColumn id="17" xr3:uid="{C6E71F47-0830-4723-99D8-85FC051B297C}" uniqueName="17" name="Dataset" queryTableFieldId="17" dataDxfId="0">
      <calculatedColumnFormula>IF(ROWS($A$2:A2)&lt;=ROUND(COUNTA($A:$A)*80%,0),"Training","Testing")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FD65-4B2D-44AC-A9D4-83882DCC2B6E}">
  <dimension ref="A1:M201"/>
  <sheetViews>
    <sheetView tabSelected="1" workbookViewId="0">
      <selection activeCell="F11" sqref="F11"/>
    </sheetView>
  </sheetViews>
  <sheetFormatPr defaultRowHeight="14.5"/>
  <cols>
    <col min="3" max="3" width="11.1796875" customWidth="1"/>
    <col min="4" max="4" width="11.81640625" customWidth="1"/>
    <col min="6" max="6" width="10.81640625" customWidth="1"/>
    <col min="7" max="7" width="11.6328125" customWidth="1"/>
    <col min="8" max="8" width="11.1796875" customWidth="1"/>
    <col min="9" max="9" width="16.453125" customWidth="1"/>
    <col min="10" max="10" width="15.54296875" customWidth="1"/>
    <col min="11" max="11" width="9.08984375" customWidth="1"/>
    <col min="12" max="12" width="9.81640625" customWidth="1"/>
    <col min="13" max="13" width="16.5429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>
      <c r="A3">
        <v>16800000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>
      <c r="A4">
        <v>14900000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>
      <c r="A5">
        <v>13650000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>
      <c r="A6">
        <v>12200000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>
      <c r="A7">
        <v>11200000</v>
      </c>
      <c r="B7">
        <v>6500</v>
      </c>
      <c r="C7">
        <v>3</v>
      </c>
      <c r="D7">
        <v>2</v>
      </c>
      <c r="E7">
        <v>2</v>
      </c>
      <c r="F7" t="s">
        <v>13</v>
      </c>
      <c r="G7" t="s">
        <v>14</v>
      </c>
      <c r="H7" t="s">
        <v>14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>
      <c r="A8">
        <v>8100000</v>
      </c>
      <c r="B8">
        <v>4800</v>
      </c>
      <c r="C8">
        <v>3</v>
      </c>
      <c r="D8">
        <v>2</v>
      </c>
      <c r="E8">
        <v>1</v>
      </c>
      <c r="F8" t="s">
        <v>13</v>
      </c>
      <c r="G8" t="s">
        <v>14</v>
      </c>
      <c r="H8" t="s">
        <v>13</v>
      </c>
      <c r="I8" t="s">
        <v>14</v>
      </c>
      <c r="J8" t="s">
        <v>14</v>
      </c>
      <c r="K8">
        <v>1</v>
      </c>
      <c r="L8" t="s">
        <v>14</v>
      </c>
      <c r="M8" t="s">
        <v>17</v>
      </c>
    </row>
    <row r="9" spans="1:13">
      <c r="A9">
        <v>11950000</v>
      </c>
      <c r="B9">
        <v>5400</v>
      </c>
      <c r="C9">
        <v>4</v>
      </c>
      <c r="D9">
        <v>3</v>
      </c>
      <c r="E9">
        <v>2</v>
      </c>
      <c r="F9" t="s">
        <v>13</v>
      </c>
      <c r="G9" t="s">
        <v>13</v>
      </c>
      <c r="H9" t="s">
        <v>14</v>
      </c>
      <c r="I9" t="s">
        <v>14</v>
      </c>
      <c r="J9" t="s">
        <v>13</v>
      </c>
      <c r="K9">
        <v>2</v>
      </c>
      <c r="L9" t="s">
        <v>13</v>
      </c>
      <c r="M9" t="s">
        <v>15</v>
      </c>
    </row>
    <row r="10" spans="1:13">
      <c r="A10">
        <v>5200000</v>
      </c>
      <c r="B10">
        <v>3200</v>
      </c>
      <c r="C10">
        <v>2</v>
      </c>
      <c r="D10">
        <v>1</v>
      </c>
      <c r="E10">
        <v>1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>
        <v>0</v>
      </c>
      <c r="L10" t="s">
        <v>14</v>
      </c>
      <c r="M10" t="s">
        <v>17</v>
      </c>
    </row>
    <row r="11" spans="1:13">
      <c r="A11">
        <v>7600000</v>
      </c>
      <c r="B11">
        <v>4100</v>
      </c>
      <c r="C11">
        <v>3</v>
      </c>
      <c r="D11">
        <v>1</v>
      </c>
      <c r="E11">
        <v>2</v>
      </c>
      <c r="F11" t="s">
        <v>13</v>
      </c>
      <c r="G11" t="s">
        <v>14</v>
      </c>
      <c r="H11" t="s">
        <v>13</v>
      </c>
      <c r="I11" t="s">
        <v>14</v>
      </c>
      <c r="J11" t="s">
        <v>14</v>
      </c>
      <c r="K11">
        <v>1</v>
      </c>
      <c r="L11" t="s">
        <v>14</v>
      </c>
      <c r="M11" t="s">
        <v>16</v>
      </c>
    </row>
    <row r="12" spans="1:13">
      <c r="A12">
        <v>10800000</v>
      </c>
      <c r="B12">
        <v>5600</v>
      </c>
      <c r="C12">
        <v>3</v>
      </c>
      <c r="D12">
        <v>2</v>
      </c>
      <c r="E12">
        <v>2</v>
      </c>
      <c r="F12" t="s">
        <v>13</v>
      </c>
      <c r="G12" t="s">
        <v>14</v>
      </c>
      <c r="H12" t="s">
        <v>14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>
      <c r="A13">
        <v>13100000</v>
      </c>
      <c r="B13">
        <v>6200</v>
      </c>
      <c r="C13">
        <v>4</v>
      </c>
      <c r="D13">
        <v>3</v>
      </c>
      <c r="E13">
        <v>3</v>
      </c>
      <c r="F13" t="s">
        <v>13</v>
      </c>
      <c r="G13" t="s">
        <v>13</v>
      </c>
      <c r="H13" t="s">
        <v>13</v>
      </c>
      <c r="I13" t="s">
        <v>14</v>
      </c>
      <c r="J13" t="s">
        <v>13</v>
      </c>
      <c r="K13">
        <v>2</v>
      </c>
      <c r="L13" t="s">
        <v>13</v>
      </c>
      <c r="M13" t="s">
        <v>15</v>
      </c>
    </row>
    <row r="14" spans="1:13">
      <c r="A14">
        <v>6100000</v>
      </c>
      <c r="B14">
        <v>3700</v>
      </c>
      <c r="C14">
        <v>2</v>
      </c>
      <c r="D14">
        <v>1</v>
      </c>
      <c r="E14">
        <v>1</v>
      </c>
      <c r="F14" t="s">
        <v>13</v>
      </c>
      <c r="G14" t="s">
        <v>14</v>
      </c>
      <c r="H14" t="s">
        <v>14</v>
      </c>
      <c r="I14" t="s">
        <v>14</v>
      </c>
      <c r="J14" t="s">
        <v>14</v>
      </c>
      <c r="K14">
        <v>1</v>
      </c>
      <c r="L14" t="s">
        <v>14</v>
      </c>
      <c r="M14" t="s">
        <v>17</v>
      </c>
    </row>
    <row r="15" spans="1:13">
      <c r="A15">
        <v>8900000</v>
      </c>
      <c r="B15">
        <v>4550</v>
      </c>
      <c r="C15">
        <v>3</v>
      </c>
      <c r="D15">
        <v>2</v>
      </c>
      <c r="E15">
        <v>2</v>
      </c>
      <c r="F15" t="s">
        <v>14</v>
      </c>
      <c r="G15" t="s">
        <v>14</v>
      </c>
      <c r="H15" t="s">
        <v>13</v>
      </c>
      <c r="I15" t="s">
        <v>14</v>
      </c>
      <c r="J15" t="s">
        <v>13</v>
      </c>
      <c r="K15">
        <v>1</v>
      </c>
      <c r="L15" t="s">
        <v>14</v>
      </c>
      <c r="M15" t="s">
        <v>16</v>
      </c>
    </row>
    <row r="16" spans="1:13">
      <c r="A16">
        <v>13800000</v>
      </c>
      <c r="B16">
        <v>7000</v>
      </c>
      <c r="C16">
        <v>4</v>
      </c>
      <c r="D16">
        <v>3</v>
      </c>
      <c r="E16">
        <v>2</v>
      </c>
      <c r="F16" t="s">
        <v>13</v>
      </c>
      <c r="G16" t="s">
        <v>13</v>
      </c>
      <c r="H16" t="s">
        <v>14</v>
      </c>
      <c r="I16" t="s">
        <v>14</v>
      </c>
      <c r="J16" t="s">
        <v>13</v>
      </c>
      <c r="K16">
        <v>3</v>
      </c>
      <c r="L16" t="s">
        <v>13</v>
      </c>
      <c r="M16" t="s">
        <v>15</v>
      </c>
    </row>
    <row r="17" spans="1:13">
      <c r="A17">
        <v>4500000</v>
      </c>
      <c r="B17">
        <v>2850</v>
      </c>
      <c r="C17">
        <v>2</v>
      </c>
      <c r="D17">
        <v>1</v>
      </c>
      <c r="E17">
        <v>1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>
        <v>0</v>
      </c>
      <c r="L17" t="s">
        <v>14</v>
      </c>
      <c r="M17" t="s">
        <v>17</v>
      </c>
    </row>
    <row r="18" spans="1:13">
      <c r="A18">
        <v>10100000</v>
      </c>
      <c r="B18">
        <v>5100</v>
      </c>
      <c r="C18">
        <v>3</v>
      </c>
      <c r="D18">
        <v>2</v>
      </c>
      <c r="E18">
        <v>2</v>
      </c>
      <c r="F18" t="s">
        <v>13</v>
      </c>
      <c r="G18" t="s">
        <v>14</v>
      </c>
      <c r="H18" t="s">
        <v>14</v>
      </c>
      <c r="I18" t="s">
        <v>14</v>
      </c>
      <c r="J18" t="s">
        <v>13</v>
      </c>
      <c r="K18">
        <v>2</v>
      </c>
      <c r="L18" t="s">
        <v>14</v>
      </c>
      <c r="M18" t="s">
        <v>16</v>
      </c>
    </row>
    <row r="19" spans="1:13">
      <c r="A19">
        <v>14100000</v>
      </c>
      <c r="B19">
        <v>6800</v>
      </c>
      <c r="C19">
        <v>4</v>
      </c>
      <c r="D19">
        <v>2</v>
      </c>
      <c r="E19">
        <v>3</v>
      </c>
      <c r="F19" t="s">
        <v>13</v>
      </c>
      <c r="G19" t="s">
        <v>13</v>
      </c>
      <c r="H19" t="s">
        <v>13</v>
      </c>
      <c r="I19" t="s">
        <v>14</v>
      </c>
      <c r="J19" t="s">
        <v>13</v>
      </c>
      <c r="K19">
        <v>2</v>
      </c>
      <c r="L19" t="s">
        <v>13</v>
      </c>
      <c r="M19" t="s">
        <v>15</v>
      </c>
    </row>
    <row r="20" spans="1:13">
      <c r="A20">
        <v>6500000</v>
      </c>
      <c r="B20">
        <v>3950</v>
      </c>
      <c r="C20">
        <v>2</v>
      </c>
      <c r="D20">
        <v>1</v>
      </c>
      <c r="E20">
        <v>1</v>
      </c>
      <c r="F20" t="s">
        <v>13</v>
      </c>
      <c r="G20" t="s">
        <v>14</v>
      </c>
      <c r="H20" t="s">
        <v>14</v>
      </c>
      <c r="I20" t="s">
        <v>14</v>
      </c>
      <c r="J20" t="s">
        <v>14</v>
      </c>
      <c r="K20">
        <v>1</v>
      </c>
      <c r="L20" t="s">
        <v>14</v>
      </c>
      <c r="M20" t="s">
        <v>17</v>
      </c>
    </row>
    <row r="21" spans="1:13">
      <c r="A21">
        <v>11400000</v>
      </c>
      <c r="B21">
        <v>5900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13</v>
      </c>
      <c r="I21" t="s">
        <v>14</v>
      </c>
      <c r="J21" t="s">
        <v>13</v>
      </c>
      <c r="K21">
        <v>2</v>
      </c>
      <c r="L21" t="s">
        <v>13</v>
      </c>
      <c r="M21" t="s">
        <v>16</v>
      </c>
    </row>
    <row r="22" spans="1:13">
      <c r="A22">
        <v>5200000</v>
      </c>
      <c r="B22">
        <v>4600</v>
      </c>
      <c r="C22">
        <v>3</v>
      </c>
      <c r="D22">
        <v>2</v>
      </c>
      <c r="E22">
        <v>2</v>
      </c>
      <c r="F22" t="s">
        <v>13</v>
      </c>
      <c r="G22" t="s">
        <v>14</v>
      </c>
      <c r="H22" t="s">
        <v>14</v>
      </c>
      <c r="I22" t="s">
        <v>14</v>
      </c>
      <c r="J22" t="s">
        <v>13</v>
      </c>
      <c r="K22">
        <v>2</v>
      </c>
      <c r="L22" t="s">
        <v>14</v>
      </c>
      <c r="M22" t="s">
        <v>16</v>
      </c>
    </row>
    <row r="23" spans="1:13">
      <c r="A23">
        <v>6100000</v>
      </c>
      <c r="B23">
        <v>5800</v>
      </c>
      <c r="C23">
        <v>4</v>
      </c>
      <c r="D23">
        <v>3</v>
      </c>
      <c r="E23">
        <v>2</v>
      </c>
      <c r="F23" t="s">
        <v>13</v>
      </c>
      <c r="G23" t="s">
        <v>13</v>
      </c>
      <c r="H23" t="s">
        <v>14</v>
      </c>
      <c r="I23" t="s">
        <v>14</v>
      </c>
      <c r="J23" t="s">
        <v>13</v>
      </c>
      <c r="K23">
        <v>2</v>
      </c>
      <c r="L23" t="s">
        <v>13</v>
      </c>
      <c r="M23" t="s">
        <v>15</v>
      </c>
    </row>
    <row r="24" spans="1:13">
      <c r="A24">
        <v>3950000</v>
      </c>
      <c r="B24">
        <v>3500</v>
      </c>
      <c r="C24">
        <v>2</v>
      </c>
      <c r="D24">
        <v>1</v>
      </c>
      <c r="E24">
        <v>1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>
        <v>1</v>
      </c>
      <c r="L24" t="s">
        <v>14</v>
      </c>
      <c r="M24" t="s">
        <v>17</v>
      </c>
    </row>
    <row r="25" spans="1:13">
      <c r="A25">
        <v>7200000</v>
      </c>
      <c r="B25">
        <v>6400</v>
      </c>
      <c r="C25">
        <v>4</v>
      </c>
      <c r="D25">
        <v>3</v>
      </c>
      <c r="E25">
        <v>3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2</v>
      </c>
      <c r="L25" t="s">
        <v>13</v>
      </c>
      <c r="M25" t="s">
        <v>15</v>
      </c>
    </row>
    <row r="26" spans="1:13">
      <c r="A26">
        <v>4550000</v>
      </c>
      <c r="B26">
        <v>4100</v>
      </c>
      <c r="C26">
        <v>3</v>
      </c>
      <c r="D26">
        <v>2</v>
      </c>
      <c r="E26">
        <v>1</v>
      </c>
      <c r="F26" t="s">
        <v>13</v>
      </c>
      <c r="G26" t="s">
        <v>14</v>
      </c>
      <c r="H26" t="s">
        <v>14</v>
      </c>
      <c r="I26" t="s">
        <v>14</v>
      </c>
      <c r="J26" t="s">
        <v>14</v>
      </c>
      <c r="K26">
        <v>2</v>
      </c>
      <c r="L26" t="s">
        <v>14</v>
      </c>
      <c r="M26" t="s">
        <v>16</v>
      </c>
    </row>
    <row r="27" spans="1:13">
      <c r="A27">
        <v>6850000</v>
      </c>
      <c r="B27">
        <v>6000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14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>
      <c r="A28">
        <v>5400000</v>
      </c>
      <c r="B28">
        <v>5000</v>
      </c>
      <c r="C28">
        <v>3</v>
      </c>
      <c r="D28">
        <v>2</v>
      </c>
      <c r="E28">
        <v>2</v>
      </c>
      <c r="F28" t="s">
        <v>13</v>
      </c>
      <c r="G28" t="s">
        <v>14</v>
      </c>
      <c r="H28" t="s">
        <v>13</v>
      </c>
      <c r="I28" t="s">
        <v>14</v>
      </c>
      <c r="J28" t="s">
        <v>13</v>
      </c>
      <c r="K28">
        <v>2</v>
      </c>
      <c r="L28" t="s">
        <v>14</v>
      </c>
      <c r="M28" t="s">
        <v>16</v>
      </c>
    </row>
    <row r="29" spans="1:13">
      <c r="A29">
        <v>3350000</v>
      </c>
      <c r="B29">
        <v>3000</v>
      </c>
      <c r="C29">
        <v>2</v>
      </c>
      <c r="D29">
        <v>1</v>
      </c>
      <c r="E29">
        <v>1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17</v>
      </c>
    </row>
    <row r="30" spans="1:13">
      <c r="A30">
        <v>8100000</v>
      </c>
      <c r="B30">
        <v>7200</v>
      </c>
      <c r="C30">
        <v>5</v>
      </c>
      <c r="D30">
        <v>3</v>
      </c>
      <c r="E30">
        <v>3</v>
      </c>
      <c r="F30" t="s">
        <v>13</v>
      </c>
      <c r="G30" t="s">
        <v>13</v>
      </c>
      <c r="H30" t="s">
        <v>13</v>
      </c>
      <c r="I30" t="s">
        <v>14</v>
      </c>
      <c r="J30" t="s">
        <v>13</v>
      </c>
      <c r="K30">
        <v>3</v>
      </c>
      <c r="L30" t="s">
        <v>13</v>
      </c>
      <c r="M30" t="s">
        <v>15</v>
      </c>
    </row>
    <row r="31" spans="1:13">
      <c r="A31">
        <v>4900000</v>
      </c>
      <c r="B31">
        <v>4300</v>
      </c>
      <c r="C31">
        <v>3</v>
      </c>
      <c r="D31">
        <v>2</v>
      </c>
      <c r="E31">
        <v>2</v>
      </c>
      <c r="F31" t="s">
        <v>13</v>
      </c>
      <c r="G31" t="s">
        <v>14</v>
      </c>
      <c r="H31" t="s">
        <v>14</v>
      </c>
      <c r="I31" t="s">
        <v>14</v>
      </c>
      <c r="J31" t="s">
        <v>13</v>
      </c>
      <c r="K31">
        <v>2</v>
      </c>
      <c r="L31" t="s">
        <v>14</v>
      </c>
      <c r="M31" t="s">
        <v>16</v>
      </c>
    </row>
    <row r="32" spans="1:13">
      <c r="A32">
        <v>3750000</v>
      </c>
      <c r="B32">
        <v>3400</v>
      </c>
      <c r="C32">
        <v>2</v>
      </c>
      <c r="D32">
        <v>1</v>
      </c>
      <c r="E32">
        <v>1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>
        <v>1</v>
      </c>
      <c r="L32" t="s">
        <v>14</v>
      </c>
      <c r="M32" t="s">
        <v>17</v>
      </c>
    </row>
    <row r="33" spans="1:13">
      <c r="A33">
        <v>6400000</v>
      </c>
      <c r="B33">
        <v>5700</v>
      </c>
      <c r="C33">
        <v>4</v>
      </c>
      <c r="D33">
        <v>2</v>
      </c>
      <c r="E33">
        <v>2</v>
      </c>
      <c r="F33" t="s">
        <v>13</v>
      </c>
      <c r="G33" t="s">
        <v>13</v>
      </c>
      <c r="H33" t="s">
        <v>14</v>
      </c>
      <c r="I33" t="s">
        <v>14</v>
      </c>
      <c r="J33" t="s">
        <v>13</v>
      </c>
      <c r="K33">
        <v>2</v>
      </c>
      <c r="L33" t="s">
        <v>13</v>
      </c>
      <c r="M33" t="s">
        <v>15</v>
      </c>
    </row>
    <row r="34" spans="1:13">
      <c r="A34">
        <v>5650000</v>
      </c>
      <c r="B34">
        <v>5200</v>
      </c>
      <c r="C34">
        <v>3</v>
      </c>
      <c r="D34">
        <v>2</v>
      </c>
      <c r="E34">
        <v>2</v>
      </c>
      <c r="F34" t="s">
        <v>13</v>
      </c>
      <c r="G34" t="s">
        <v>14</v>
      </c>
      <c r="H34" t="s">
        <v>13</v>
      </c>
      <c r="I34" t="s">
        <v>14</v>
      </c>
      <c r="J34" t="s">
        <v>13</v>
      </c>
      <c r="K34">
        <v>2</v>
      </c>
      <c r="L34" t="s">
        <v>14</v>
      </c>
      <c r="M34" t="s">
        <v>16</v>
      </c>
    </row>
    <row r="35" spans="1:13">
      <c r="A35">
        <v>4700000</v>
      </c>
      <c r="B35">
        <v>4400</v>
      </c>
      <c r="C35">
        <v>3</v>
      </c>
      <c r="D35">
        <v>2</v>
      </c>
      <c r="E35">
        <v>1</v>
      </c>
      <c r="F35" t="s">
        <v>13</v>
      </c>
      <c r="G35" t="s">
        <v>14</v>
      </c>
      <c r="H35" t="s">
        <v>14</v>
      </c>
      <c r="I35" t="s">
        <v>14</v>
      </c>
      <c r="J35" t="s">
        <v>14</v>
      </c>
      <c r="K35">
        <v>2</v>
      </c>
      <c r="L35" t="s">
        <v>14</v>
      </c>
      <c r="M35" t="s">
        <v>16</v>
      </c>
    </row>
    <row r="36" spans="1:13">
      <c r="A36">
        <v>7600000</v>
      </c>
      <c r="B36">
        <v>6800</v>
      </c>
      <c r="C36">
        <v>5</v>
      </c>
      <c r="D36">
        <v>3</v>
      </c>
      <c r="E36">
        <v>3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3</v>
      </c>
      <c r="L36" t="s">
        <v>13</v>
      </c>
      <c r="M36" t="s">
        <v>15</v>
      </c>
    </row>
    <row r="37" spans="1:13">
      <c r="A37">
        <v>4200000</v>
      </c>
      <c r="B37">
        <v>3900</v>
      </c>
      <c r="C37">
        <v>3</v>
      </c>
      <c r="D37">
        <v>2</v>
      </c>
      <c r="E37">
        <v>1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>
        <v>1</v>
      </c>
      <c r="L37" t="s">
        <v>14</v>
      </c>
      <c r="M37" t="s">
        <v>17</v>
      </c>
    </row>
    <row r="38" spans="1:13">
      <c r="A38">
        <v>6950000</v>
      </c>
      <c r="B38">
        <v>6100</v>
      </c>
      <c r="C38">
        <v>4</v>
      </c>
      <c r="D38">
        <v>3</v>
      </c>
      <c r="E38">
        <v>2</v>
      </c>
      <c r="F38" t="s">
        <v>13</v>
      </c>
      <c r="G38" t="s">
        <v>13</v>
      </c>
      <c r="H38" t="s">
        <v>14</v>
      </c>
      <c r="I38" t="s">
        <v>14</v>
      </c>
      <c r="J38" t="s">
        <v>13</v>
      </c>
      <c r="K38">
        <v>2</v>
      </c>
      <c r="L38" t="s">
        <v>13</v>
      </c>
      <c r="M38" t="s">
        <v>15</v>
      </c>
    </row>
    <row r="39" spans="1:13">
      <c r="A39">
        <v>5150000</v>
      </c>
      <c r="B39">
        <v>4800</v>
      </c>
      <c r="C39">
        <v>3</v>
      </c>
      <c r="D39">
        <v>2</v>
      </c>
      <c r="E39">
        <v>2</v>
      </c>
      <c r="F39" t="s">
        <v>13</v>
      </c>
      <c r="G39" t="s">
        <v>14</v>
      </c>
      <c r="H39" t="s">
        <v>13</v>
      </c>
      <c r="I39" t="s">
        <v>14</v>
      </c>
      <c r="J39" t="s">
        <v>13</v>
      </c>
      <c r="K39">
        <v>2</v>
      </c>
      <c r="L39" t="s">
        <v>14</v>
      </c>
      <c r="M39" t="s">
        <v>16</v>
      </c>
    </row>
    <row r="40" spans="1:13">
      <c r="A40">
        <v>3600000</v>
      </c>
      <c r="B40">
        <v>3200</v>
      </c>
      <c r="C40">
        <v>2</v>
      </c>
      <c r="D40">
        <v>1</v>
      </c>
      <c r="E40">
        <v>1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>
        <v>1</v>
      </c>
      <c r="L40" t="s">
        <v>14</v>
      </c>
      <c r="M40" t="s">
        <v>17</v>
      </c>
    </row>
    <row r="41" spans="1:13">
      <c r="A41">
        <v>8350000</v>
      </c>
      <c r="B41">
        <v>7400</v>
      </c>
      <c r="C41">
        <v>5</v>
      </c>
      <c r="D41">
        <v>3</v>
      </c>
      <c r="E41">
        <v>3</v>
      </c>
      <c r="F41" t="s">
        <v>13</v>
      </c>
      <c r="G41" t="s">
        <v>13</v>
      </c>
      <c r="H41" t="s">
        <v>13</v>
      </c>
      <c r="I41" t="s">
        <v>14</v>
      </c>
      <c r="J41" t="s">
        <v>13</v>
      </c>
      <c r="K41">
        <v>3</v>
      </c>
      <c r="L41" t="s">
        <v>13</v>
      </c>
      <c r="M41" t="s">
        <v>15</v>
      </c>
    </row>
    <row r="42" spans="1:13">
      <c r="A42">
        <v>25000000</v>
      </c>
      <c r="B42">
        <v>9500</v>
      </c>
      <c r="C42">
        <v>6</v>
      </c>
      <c r="D42">
        <v>5</v>
      </c>
      <c r="E42">
        <v>4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K42">
        <v>4</v>
      </c>
      <c r="L42" t="s">
        <v>13</v>
      </c>
      <c r="M42" t="s">
        <v>15</v>
      </c>
    </row>
    <row r="43" spans="1:13">
      <c r="A43">
        <v>31000000</v>
      </c>
      <c r="B43">
        <v>11000</v>
      </c>
      <c r="C43">
        <v>7</v>
      </c>
      <c r="D43">
        <v>6</v>
      </c>
      <c r="E43">
        <v>4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>
        <v>5</v>
      </c>
      <c r="L43" t="s">
        <v>13</v>
      </c>
      <c r="M43" t="s">
        <v>15</v>
      </c>
    </row>
    <row r="44" spans="1:13">
      <c r="A44">
        <v>42000000</v>
      </c>
      <c r="B44">
        <v>13500</v>
      </c>
      <c r="C44">
        <v>8</v>
      </c>
      <c r="D44">
        <v>7</v>
      </c>
      <c r="E44">
        <v>5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K44">
        <v>6</v>
      </c>
      <c r="L44" t="s">
        <v>13</v>
      </c>
      <c r="M44" t="s">
        <v>15</v>
      </c>
    </row>
    <row r="45" spans="1:13">
      <c r="A45">
        <v>27500000</v>
      </c>
      <c r="B45">
        <v>9800</v>
      </c>
      <c r="C45">
        <v>6</v>
      </c>
      <c r="D45">
        <v>5</v>
      </c>
      <c r="E45">
        <v>4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K45">
        <v>4</v>
      </c>
      <c r="L45" t="s">
        <v>13</v>
      </c>
      <c r="M45" t="s">
        <v>15</v>
      </c>
    </row>
    <row r="46" spans="1:13">
      <c r="A46">
        <v>35500000</v>
      </c>
      <c r="B46">
        <v>12000</v>
      </c>
      <c r="C46">
        <v>7</v>
      </c>
      <c r="D46">
        <v>6</v>
      </c>
      <c r="E46">
        <v>5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  <c r="K46">
        <v>5</v>
      </c>
      <c r="L46" t="s">
        <v>13</v>
      </c>
      <c r="M46" t="s">
        <v>15</v>
      </c>
    </row>
    <row r="47" spans="1:13">
      <c r="A47">
        <v>4400000</v>
      </c>
      <c r="B47">
        <v>4050</v>
      </c>
      <c r="C47">
        <v>3</v>
      </c>
      <c r="D47">
        <v>2</v>
      </c>
      <c r="E47">
        <v>1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>
        <v>2</v>
      </c>
      <c r="L47" t="s">
        <v>14</v>
      </c>
      <c r="M47" t="s">
        <v>16</v>
      </c>
    </row>
    <row r="48" spans="1:13">
      <c r="A48">
        <v>5850000</v>
      </c>
      <c r="B48">
        <v>5600</v>
      </c>
      <c r="C48">
        <v>4</v>
      </c>
      <c r="D48">
        <v>2</v>
      </c>
      <c r="E48">
        <v>2</v>
      </c>
      <c r="F48" t="s">
        <v>13</v>
      </c>
      <c r="G48" t="s">
        <v>13</v>
      </c>
      <c r="H48" t="s">
        <v>14</v>
      </c>
      <c r="I48" t="s">
        <v>14</v>
      </c>
      <c r="J48" t="s">
        <v>13</v>
      </c>
      <c r="K48">
        <v>2</v>
      </c>
      <c r="L48" t="s">
        <v>13</v>
      </c>
      <c r="M48" t="s">
        <v>15</v>
      </c>
    </row>
    <row r="49" spans="1:13">
      <c r="A49">
        <v>5050000</v>
      </c>
      <c r="B49">
        <v>4700</v>
      </c>
      <c r="C49">
        <v>3</v>
      </c>
      <c r="D49">
        <v>2</v>
      </c>
      <c r="E49">
        <v>2</v>
      </c>
      <c r="F49" t="s">
        <v>13</v>
      </c>
      <c r="G49" t="s">
        <v>14</v>
      </c>
      <c r="H49" t="s">
        <v>13</v>
      </c>
      <c r="I49" t="s">
        <v>14</v>
      </c>
      <c r="J49" t="s">
        <v>13</v>
      </c>
      <c r="K49">
        <v>2</v>
      </c>
      <c r="L49" t="s">
        <v>14</v>
      </c>
      <c r="M49" t="s">
        <v>16</v>
      </c>
    </row>
    <row r="50" spans="1:13">
      <c r="A50">
        <v>3900000</v>
      </c>
      <c r="B50">
        <v>3450</v>
      </c>
      <c r="C50">
        <v>2</v>
      </c>
      <c r="D50">
        <v>1</v>
      </c>
      <c r="E50">
        <v>1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>
      <c r="A51">
        <v>7300000</v>
      </c>
      <c r="B51">
        <v>6600</v>
      </c>
      <c r="C51">
        <v>5</v>
      </c>
      <c r="D51">
        <v>3</v>
      </c>
      <c r="E51">
        <v>3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3</v>
      </c>
      <c r="L51" t="s">
        <v>13</v>
      </c>
      <c r="M51" t="s">
        <v>15</v>
      </c>
    </row>
    <row r="52" spans="1:13">
      <c r="A52">
        <v>4650000</v>
      </c>
      <c r="B52">
        <v>4350</v>
      </c>
      <c r="C52">
        <v>3</v>
      </c>
      <c r="D52">
        <v>2</v>
      </c>
      <c r="E52">
        <v>2</v>
      </c>
      <c r="F52" t="s">
        <v>13</v>
      </c>
      <c r="G52" t="s">
        <v>14</v>
      </c>
      <c r="H52" t="s">
        <v>14</v>
      </c>
      <c r="I52" t="s">
        <v>14</v>
      </c>
      <c r="J52" t="s">
        <v>13</v>
      </c>
      <c r="K52">
        <v>2</v>
      </c>
      <c r="L52" t="s">
        <v>14</v>
      </c>
      <c r="M52" t="s">
        <v>16</v>
      </c>
    </row>
    <row r="53" spans="1:13">
      <c r="A53">
        <v>5450000</v>
      </c>
      <c r="B53">
        <v>5100</v>
      </c>
      <c r="C53">
        <v>3</v>
      </c>
      <c r="D53">
        <v>2</v>
      </c>
      <c r="E53">
        <v>2</v>
      </c>
      <c r="F53" t="s">
        <v>13</v>
      </c>
      <c r="G53" t="s">
        <v>13</v>
      </c>
      <c r="H53" t="s">
        <v>14</v>
      </c>
      <c r="I53" t="s">
        <v>14</v>
      </c>
      <c r="J53" t="s">
        <v>13</v>
      </c>
      <c r="K53">
        <v>2</v>
      </c>
      <c r="L53" t="s">
        <v>13</v>
      </c>
      <c r="M53" t="s">
        <v>15</v>
      </c>
    </row>
    <row r="54" spans="1:13">
      <c r="A54">
        <v>3850000</v>
      </c>
      <c r="B54">
        <v>3250</v>
      </c>
      <c r="C54">
        <v>2</v>
      </c>
      <c r="D54">
        <v>1</v>
      </c>
      <c r="E54">
        <v>1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>
        <v>1</v>
      </c>
      <c r="L54" t="s">
        <v>14</v>
      </c>
      <c r="M54" t="s">
        <v>17</v>
      </c>
    </row>
    <row r="55" spans="1:13">
      <c r="A55">
        <v>6150000</v>
      </c>
      <c r="B55">
        <v>5900</v>
      </c>
      <c r="C55">
        <v>4</v>
      </c>
      <c r="D55">
        <v>3</v>
      </c>
      <c r="E55">
        <v>2</v>
      </c>
      <c r="F55" t="s">
        <v>13</v>
      </c>
      <c r="G55" t="s">
        <v>13</v>
      </c>
      <c r="H55" t="s">
        <v>13</v>
      </c>
      <c r="I55" t="s">
        <v>14</v>
      </c>
      <c r="J55" t="s">
        <v>13</v>
      </c>
      <c r="K55">
        <v>2</v>
      </c>
      <c r="L55" t="s">
        <v>13</v>
      </c>
      <c r="M55" t="s">
        <v>15</v>
      </c>
    </row>
    <row r="56" spans="1:13">
      <c r="A56">
        <v>4950000</v>
      </c>
      <c r="B56">
        <v>4550</v>
      </c>
      <c r="C56">
        <v>3</v>
      </c>
      <c r="D56">
        <v>2</v>
      </c>
      <c r="E56">
        <v>2</v>
      </c>
      <c r="F56" t="s">
        <v>13</v>
      </c>
      <c r="G56" t="s">
        <v>14</v>
      </c>
      <c r="H56" t="s">
        <v>13</v>
      </c>
      <c r="I56" t="s">
        <v>14</v>
      </c>
      <c r="J56" t="s">
        <v>13</v>
      </c>
      <c r="K56">
        <v>2</v>
      </c>
      <c r="L56" t="s">
        <v>14</v>
      </c>
      <c r="M56" t="s">
        <v>16</v>
      </c>
    </row>
    <row r="57" spans="1:13">
      <c r="A57">
        <v>7050000</v>
      </c>
      <c r="B57">
        <v>6550</v>
      </c>
      <c r="C57">
        <v>4</v>
      </c>
      <c r="D57">
        <v>3</v>
      </c>
      <c r="E57">
        <v>3</v>
      </c>
      <c r="F57" t="s">
        <v>13</v>
      </c>
      <c r="G57" t="s">
        <v>13</v>
      </c>
      <c r="H57" t="s">
        <v>14</v>
      </c>
      <c r="I57" t="s">
        <v>14</v>
      </c>
      <c r="J57" t="s">
        <v>13</v>
      </c>
      <c r="K57">
        <v>3</v>
      </c>
      <c r="L57" t="s">
        <v>13</v>
      </c>
      <c r="M57" t="s">
        <v>15</v>
      </c>
    </row>
    <row r="58" spans="1:13">
      <c r="A58">
        <v>4450000</v>
      </c>
      <c r="B58">
        <v>4150</v>
      </c>
      <c r="C58">
        <v>3</v>
      </c>
      <c r="D58">
        <v>2</v>
      </c>
      <c r="E58">
        <v>1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>
        <v>2</v>
      </c>
      <c r="L58" t="s">
        <v>14</v>
      </c>
      <c r="M58" t="s">
        <v>16</v>
      </c>
    </row>
    <row r="59" spans="1:13">
      <c r="A59">
        <v>3650000</v>
      </c>
      <c r="B59">
        <v>3150</v>
      </c>
      <c r="C59">
        <v>2</v>
      </c>
      <c r="D59">
        <v>1</v>
      </c>
      <c r="E59">
        <v>1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>
        <v>1</v>
      </c>
      <c r="L59" t="s">
        <v>14</v>
      </c>
      <c r="M59" t="s">
        <v>17</v>
      </c>
    </row>
    <row r="60" spans="1:13">
      <c r="A60">
        <v>7750000</v>
      </c>
      <c r="B60">
        <v>7100</v>
      </c>
      <c r="C60">
        <v>5</v>
      </c>
      <c r="D60">
        <v>3</v>
      </c>
      <c r="E60">
        <v>3</v>
      </c>
      <c r="F60" t="s">
        <v>13</v>
      </c>
      <c r="G60" t="s">
        <v>13</v>
      </c>
      <c r="H60" t="s">
        <v>13</v>
      </c>
      <c r="I60" t="s">
        <v>14</v>
      </c>
      <c r="J60" t="s">
        <v>13</v>
      </c>
      <c r="K60">
        <v>3</v>
      </c>
      <c r="L60" t="s">
        <v>13</v>
      </c>
      <c r="M60" t="s">
        <v>15</v>
      </c>
    </row>
    <row r="61" spans="1:13">
      <c r="A61">
        <v>5250000</v>
      </c>
      <c r="B61">
        <v>4950</v>
      </c>
      <c r="C61">
        <v>3</v>
      </c>
      <c r="D61">
        <v>2</v>
      </c>
      <c r="E61">
        <v>2</v>
      </c>
      <c r="F61" t="s">
        <v>13</v>
      </c>
      <c r="G61" t="s">
        <v>14</v>
      </c>
      <c r="H61" t="s">
        <v>14</v>
      </c>
      <c r="I61" t="s">
        <v>14</v>
      </c>
      <c r="J61" t="s">
        <v>13</v>
      </c>
      <c r="K61">
        <v>2</v>
      </c>
      <c r="L61" t="s">
        <v>14</v>
      </c>
      <c r="M61" t="s">
        <v>16</v>
      </c>
    </row>
    <row r="62" spans="1:13">
      <c r="A62">
        <v>4350000</v>
      </c>
      <c r="B62">
        <v>4050</v>
      </c>
      <c r="C62">
        <v>3</v>
      </c>
      <c r="D62">
        <v>2</v>
      </c>
      <c r="E62">
        <v>1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17</v>
      </c>
    </row>
    <row r="63" spans="1:13">
      <c r="A63">
        <v>6550000</v>
      </c>
      <c r="B63">
        <v>6050</v>
      </c>
      <c r="C63">
        <v>4</v>
      </c>
      <c r="D63">
        <v>2</v>
      </c>
      <c r="E63">
        <v>2</v>
      </c>
      <c r="F63" t="s">
        <v>13</v>
      </c>
      <c r="G63" t="s">
        <v>13</v>
      </c>
      <c r="H63" t="s">
        <v>14</v>
      </c>
      <c r="I63" t="s">
        <v>14</v>
      </c>
      <c r="J63" t="s">
        <v>13</v>
      </c>
      <c r="K63">
        <v>2</v>
      </c>
      <c r="L63" t="s">
        <v>13</v>
      </c>
      <c r="M63" t="s">
        <v>15</v>
      </c>
    </row>
    <row r="64" spans="1:13">
      <c r="A64">
        <v>5750000</v>
      </c>
      <c r="B64">
        <v>5450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13</v>
      </c>
      <c r="I64" t="s">
        <v>14</v>
      </c>
      <c r="J64" t="s">
        <v>13</v>
      </c>
      <c r="K64">
        <v>2</v>
      </c>
      <c r="L64" t="s">
        <v>14</v>
      </c>
      <c r="M64" t="s">
        <v>16</v>
      </c>
    </row>
    <row r="65" spans="1:13">
      <c r="A65">
        <v>4850000</v>
      </c>
      <c r="B65">
        <v>4450</v>
      </c>
      <c r="C65">
        <v>3</v>
      </c>
      <c r="D65">
        <v>2</v>
      </c>
      <c r="E65">
        <v>2</v>
      </c>
      <c r="F65" t="s">
        <v>13</v>
      </c>
      <c r="G65" t="s">
        <v>14</v>
      </c>
      <c r="H65" t="s">
        <v>14</v>
      </c>
      <c r="I65" t="s">
        <v>14</v>
      </c>
      <c r="J65" t="s">
        <v>14</v>
      </c>
      <c r="K65">
        <v>2</v>
      </c>
      <c r="L65" t="s">
        <v>14</v>
      </c>
      <c r="M65" t="s">
        <v>16</v>
      </c>
    </row>
    <row r="66" spans="1:13">
      <c r="A66">
        <v>7350000</v>
      </c>
      <c r="B66">
        <v>6700</v>
      </c>
      <c r="C66">
        <v>5</v>
      </c>
      <c r="D66">
        <v>3</v>
      </c>
      <c r="E66">
        <v>3</v>
      </c>
      <c r="F66" t="s">
        <v>13</v>
      </c>
      <c r="G66" t="s">
        <v>13</v>
      </c>
      <c r="H66" t="s">
        <v>13</v>
      </c>
      <c r="I66" t="s">
        <v>14</v>
      </c>
      <c r="J66" t="s">
        <v>13</v>
      </c>
      <c r="K66">
        <v>3</v>
      </c>
      <c r="L66" t="s">
        <v>13</v>
      </c>
      <c r="M66" t="s">
        <v>15</v>
      </c>
    </row>
    <row r="67" spans="1:13">
      <c r="A67">
        <v>4150000</v>
      </c>
      <c r="B67">
        <v>3850</v>
      </c>
      <c r="C67">
        <v>3</v>
      </c>
      <c r="D67">
        <v>2</v>
      </c>
      <c r="E67">
        <v>1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>
        <v>1</v>
      </c>
      <c r="L67" t="s">
        <v>14</v>
      </c>
      <c r="M67" t="s">
        <v>17</v>
      </c>
    </row>
    <row r="68" spans="1:13">
      <c r="A68">
        <v>6850000</v>
      </c>
      <c r="B68">
        <v>6250</v>
      </c>
      <c r="C68">
        <v>4</v>
      </c>
      <c r="D68">
        <v>3</v>
      </c>
      <c r="E68">
        <v>2</v>
      </c>
      <c r="F68" t="s">
        <v>13</v>
      </c>
      <c r="G68" t="s">
        <v>13</v>
      </c>
      <c r="H68" t="s">
        <v>14</v>
      </c>
      <c r="I68" t="s">
        <v>14</v>
      </c>
      <c r="J68" t="s">
        <v>13</v>
      </c>
      <c r="K68">
        <v>2</v>
      </c>
      <c r="L68" t="s">
        <v>13</v>
      </c>
      <c r="M68" t="s">
        <v>15</v>
      </c>
    </row>
    <row r="69" spans="1:13">
      <c r="A69">
        <v>5550000</v>
      </c>
      <c r="B69">
        <v>5250</v>
      </c>
      <c r="C69">
        <v>3</v>
      </c>
      <c r="D69">
        <v>2</v>
      </c>
      <c r="E69">
        <v>2</v>
      </c>
      <c r="F69" t="s">
        <v>13</v>
      </c>
      <c r="G69" t="s">
        <v>14</v>
      </c>
      <c r="H69" t="s">
        <v>13</v>
      </c>
      <c r="I69" t="s">
        <v>14</v>
      </c>
      <c r="J69" t="s">
        <v>13</v>
      </c>
      <c r="K69">
        <v>2</v>
      </c>
      <c r="L69" t="s">
        <v>14</v>
      </c>
      <c r="M69" t="s">
        <v>16</v>
      </c>
    </row>
    <row r="70" spans="1:13">
      <c r="A70">
        <v>3450000</v>
      </c>
      <c r="B70">
        <v>2950</v>
      </c>
      <c r="C70">
        <v>2</v>
      </c>
      <c r="D70">
        <v>1</v>
      </c>
      <c r="E70">
        <v>1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>
        <v>1</v>
      </c>
      <c r="L70" t="s">
        <v>14</v>
      </c>
      <c r="M70" t="s">
        <v>17</v>
      </c>
    </row>
    <row r="71" spans="1:13">
      <c r="A71">
        <v>8250000</v>
      </c>
      <c r="B71">
        <v>7600</v>
      </c>
      <c r="C71">
        <v>5</v>
      </c>
      <c r="D71">
        <v>4</v>
      </c>
      <c r="E71">
        <v>3</v>
      </c>
      <c r="F71" t="s">
        <v>13</v>
      </c>
      <c r="G71" t="s">
        <v>13</v>
      </c>
      <c r="H71" t="s">
        <v>13</v>
      </c>
      <c r="I71" t="s">
        <v>14</v>
      </c>
      <c r="J71" t="s">
        <v>13</v>
      </c>
      <c r="K71">
        <v>3</v>
      </c>
      <c r="L71" t="s">
        <v>13</v>
      </c>
      <c r="M71" t="s">
        <v>15</v>
      </c>
    </row>
    <row r="72" spans="1:13">
      <c r="A72">
        <v>28000000</v>
      </c>
      <c r="B72">
        <v>9800</v>
      </c>
      <c r="C72">
        <v>6</v>
      </c>
      <c r="D72">
        <v>5</v>
      </c>
      <c r="E72">
        <v>4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>
        <v>4</v>
      </c>
      <c r="L72" t="s">
        <v>13</v>
      </c>
      <c r="M72" t="s">
        <v>15</v>
      </c>
    </row>
    <row r="73" spans="1:13">
      <c r="A73">
        <v>36000000</v>
      </c>
      <c r="B73">
        <v>11800</v>
      </c>
      <c r="C73">
        <v>7</v>
      </c>
      <c r="D73">
        <v>6</v>
      </c>
      <c r="E73">
        <v>5</v>
      </c>
      <c r="F73" t="s">
        <v>13</v>
      </c>
      <c r="G73" t="s">
        <v>13</v>
      </c>
      <c r="H73" t="s">
        <v>13</v>
      </c>
      <c r="I73" t="s">
        <v>13</v>
      </c>
      <c r="J73" t="s">
        <v>13</v>
      </c>
      <c r="K73">
        <v>5</v>
      </c>
      <c r="L73" t="s">
        <v>13</v>
      </c>
      <c r="M73" t="s">
        <v>15</v>
      </c>
    </row>
    <row r="74" spans="1:13">
      <c r="A74">
        <v>45000000</v>
      </c>
      <c r="B74">
        <v>14500</v>
      </c>
      <c r="C74">
        <v>8</v>
      </c>
      <c r="D74">
        <v>7</v>
      </c>
      <c r="E74">
        <v>6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  <c r="K74">
        <v>6</v>
      </c>
      <c r="L74" t="s">
        <v>13</v>
      </c>
      <c r="M74" t="s">
        <v>15</v>
      </c>
    </row>
    <row r="75" spans="1:13">
      <c r="A75">
        <v>52000000</v>
      </c>
      <c r="B75">
        <v>17000</v>
      </c>
      <c r="C75">
        <v>9</v>
      </c>
      <c r="D75">
        <v>8</v>
      </c>
      <c r="E75">
        <v>7</v>
      </c>
      <c r="F75" t="s">
        <v>13</v>
      </c>
      <c r="G75" t="s">
        <v>13</v>
      </c>
      <c r="H75" t="s">
        <v>13</v>
      </c>
      <c r="I75" t="s">
        <v>13</v>
      </c>
      <c r="J75" t="s">
        <v>13</v>
      </c>
      <c r="K75">
        <v>7</v>
      </c>
      <c r="L75" t="s">
        <v>13</v>
      </c>
      <c r="M75" t="s">
        <v>15</v>
      </c>
    </row>
    <row r="76" spans="1:13">
      <c r="A76">
        <v>29500000</v>
      </c>
      <c r="B76">
        <v>10200</v>
      </c>
      <c r="C76">
        <v>6</v>
      </c>
      <c r="D76">
        <v>5</v>
      </c>
      <c r="E76">
        <v>4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  <c r="K76">
        <v>4</v>
      </c>
      <c r="L76" t="s">
        <v>13</v>
      </c>
      <c r="M76" t="s">
        <v>15</v>
      </c>
    </row>
    <row r="77" spans="1:13">
      <c r="A77">
        <v>4700000</v>
      </c>
      <c r="B77">
        <v>4250</v>
      </c>
      <c r="C77">
        <v>3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14</v>
      </c>
      <c r="J77" t="s">
        <v>13</v>
      </c>
      <c r="K77">
        <v>2</v>
      </c>
      <c r="L77" t="s">
        <v>14</v>
      </c>
      <c r="M77" t="s">
        <v>16</v>
      </c>
    </row>
    <row r="78" spans="1:13">
      <c r="A78">
        <v>6050000</v>
      </c>
      <c r="B78">
        <v>5750</v>
      </c>
      <c r="C78">
        <v>4</v>
      </c>
      <c r="D78">
        <v>3</v>
      </c>
      <c r="E78">
        <v>2</v>
      </c>
      <c r="F78" t="s">
        <v>13</v>
      </c>
      <c r="G78" t="s">
        <v>13</v>
      </c>
      <c r="H78" t="s">
        <v>14</v>
      </c>
      <c r="I78" t="s">
        <v>14</v>
      </c>
      <c r="J78" t="s">
        <v>13</v>
      </c>
      <c r="K78">
        <v>2</v>
      </c>
      <c r="L78" t="s">
        <v>13</v>
      </c>
      <c r="M78" t="s">
        <v>15</v>
      </c>
    </row>
    <row r="79" spans="1:13">
      <c r="A79">
        <v>5100000</v>
      </c>
      <c r="B79">
        <v>4850</v>
      </c>
      <c r="C79">
        <v>3</v>
      </c>
      <c r="D79">
        <v>2</v>
      </c>
      <c r="E79">
        <v>2</v>
      </c>
      <c r="F79" t="s">
        <v>13</v>
      </c>
      <c r="G79" t="s">
        <v>14</v>
      </c>
      <c r="H79" t="s">
        <v>13</v>
      </c>
      <c r="I79" t="s">
        <v>14</v>
      </c>
      <c r="J79" t="s">
        <v>13</v>
      </c>
      <c r="K79">
        <v>2</v>
      </c>
      <c r="L79" t="s">
        <v>14</v>
      </c>
      <c r="M79" t="s">
        <v>16</v>
      </c>
    </row>
    <row r="80" spans="1:13">
      <c r="A80">
        <v>3950000</v>
      </c>
      <c r="B80">
        <v>3350</v>
      </c>
      <c r="C80">
        <v>2</v>
      </c>
      <c r="D80">
        <v>1</v>
      </c>
      <c r="E80">
        <v>1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>
        <v>1</v>
      </c>
      <c r="L80" t="s">
        <v>14</v>
      </c>
      <c r="M80" t="s">
        <v>17</v>
      </c>
    </row>
    <row r="81" spans="1:13">
      <c r="A81">
        <v>7600000</v>
      </c>
      <c r="B81">
        <v>6950</v>
      </c>
      <c r="C81">
        <v>5</v>
      </c>
      <c r="D81">
        <v>3</v>
      </c>
      <c r="E81">
        <v>3</v>
      </c>
      <c r="F81" t="s">
        <v>13</v>
      </c>
      <c r="G81" t="s">
        <v>13</v>
      </c>
      <c r="H81" t="s">
        <v>13</v>
      </c>
      <c r="I81" t="s">
        <v>14</v>
      </c>
      <c r="J81" t="s">
        <v>13</v>
      </c>
      <c r="K81">
        <v>3</v>
      </c>
      <c r="L81" t="s">
        <v>13</v>
      </c>
      <c r="M81" t="s">
        <v>15</v>
      </c>
    </row>
    <row r="82" spans="1:13">
      <c r="A82">
        <v>4800000</v>
      </c>
      <c r="B82">
        <v>4450</v>
      </c>
      <c r="C82">
        <v>3</v>
      </c>
      <c r="D82">
        <v>2</v>
      </c>
      <c r="E82">
        <v>2</v>
      </c>
      <c r="F82" t="s">
        <v>13</v>
      </c>
      <c r="G82" t="s">
        <v>14</v>
      </c>
      <c r="H82" t="s">
        <v>14</v>
      </c>
      <c r="I82" t="s">
        <v>14</v>
      </c>
      <c r="J82" t="s">
        <v>13</v>
      </c>
      <c r="K82">
        <v>2</v>
      </c>
      <c r="L82" t="s">
        <v>14</v>
      </c>
      <c r="M82" t="s">
        <v>16</v>
      </c>
    </row>
    <row r="83" spans="1:13">
      <c r="A83">
        <v>5700000</v>
      </c>
      <c r="B83">
        <v>5350</v>
      </c>
      <c r="C83">
        <v>4</v>
      </c>
      <c r="D83">
        <v>2</v>
      </c>
      <c r="E83">
        <v>2</v>
      </c>
      <c r="F83" t="s">
        <v>13</v>
      </c>
      <c r="G83" t="s">
        <v>13</v>
      </c>
      <c r="H83" t="s">
        <v>14</v>
      </c>
      <c r="I83" t="s">
        <v>14</v>
      </c>
      <c r="J83" t="s">
        <v>13</v>
      </c>
      <c r="K83">
        <v>2</v>
      </c>
      <c r="L83" t="s">
        <v>13</v>
      </c>
      <c r="M83" t="s">
        <v>15</v>
      </c>
    </row>
    <row r="84" spans="1:13">
      <c r="A84">
        <v>3600000</v>
      </c>
      <c r="B84">
        <v>3100</v>
      </c>
      <c r="C84">
        <v>2</v>
      </c>
      <c r="D84">
        <v>1</v>
      </c>
      <c r="E84">
        <v>1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>
        <v>1</v>
      </c>
      <c r="L84" t="s">
        <v>14</v>
      </c>
      <c r="M84" t="s">
        <v>17</v>
      </c>
    </row>
    <row r="85" spans="1:13">
      <c r="A85">
        <v>6900000</v>
      </c>
      <c r="B85">
        <v>6300</v>
      </c>
      <c r="C85">
        <v>4</v>
      </c>
      <c r="D85">
        <v>3</v>
      </c>
      <c r="E85">
        <v>3</v>
      </c>
      <c r="F85" t="s">
        <v>13</v>
      </c>
      <c r="G85" t="s">
        <v>13</v>
      </c>
      <c r="H85" t="s">
        <v>13</v>
      </c>
      <c r="I85" t="s">
        <v>14</v>
      </c>
      <c r="J85" t="s">
        <v>13</v>
      </c>
      <c r="K85">
        <v>3</v>
      </c>
      <c r="L85" t="s">
        <v>13</v>
      </c>
      <c r="M85" t="s">
        <v>15</v>
      </c>
    </row>
    <row r="86" spans="1:13">
      <c r="A86">
        <v>5100000</v>
      </c>
      <c r="B86">
        <v>4750</v>
      </c>
      <c r="C86">
        <v>3</v>
      </c>
      <c r="D86">
        <v>2</v>
      </c>
      <c r="E86">
        <v>2</v>
      </c>
      <c r="F86" t="s">
        <v>13</v>
      </c>
      <c r="G86" t="s">
        <v>14</v>
      </c>
      <c r="H86" t="s">
        <v>13</v>
      </c>
      <c r="I86" t="s">
        <v>14</v>
      </c>
      <c r="J86" t="s">
        <v>13</v>
      </c>
      <c r="K86">
        <v>2</v>
      </c>
      <c r="L86" t="s">
        <v>14</v>
      </c>
      <c r="M86" t="s">
        <v>16</v>
      </c>
    </row>
    <row r="87" spans="1:13">
      <c r="A87">
        <v>7400000</v>
      </c>
      <c r="B87">
        <v>6750</v>
      </c>
      <c r="C87">
        <v>5</v>
      </c>
      <c r="D87">
        <v>3</v>
      </c>
      <c r="E87">
        <v>3</v>
      </c>
      <c r="F87" t="s">
        <v>13</v>
      </c>
      <c r="G87" t="s">
        <v>13</v>
      </c>
      <c r="H87" t="s">
        <v>14</v>
      </c>
      <c r="I87" t="s">
        <v>14</v>
      </c>
      <c r="J87" t="s">
        <v>13</v>
      </c>
      <c r="K87">
        <v>3</v>
      </c>
      <c r="L87" t="s">
        <v>13</v>
      </c>
      <c r="M87" t="s">
        <v>15</v>
      </c>
    </row>
    <row r="88" spans="1:13">
      <c r="A88">
        <v>4300000</v>
      </c>
      <c r="B88">
        <v>3950</v>
      </c>
      <c r="C88">
        <v>3</v>
      </c>
      <c r="D88">
        <v>2</v>
      </c>
      <c r="E88">
        <v>1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>
        <v>2</v>
      </c>
      <c r="L88" t="s">
        <v>14</v>
      </c>
      <c r="M88" t="s">
        <v>17</v>
      </c>
    </row>
    <row r="89" spans="1:13">
      <c r="A89">
        <v>3850000</v>
      </c>
      <c r="B89">
        <v>3400</v>
      </c>
      <c r="C89">
        <v>2</v>
      </c>
      <c r="D89">
        <v>1</v>
      </c>
      <c r="E89">
        <v>1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>
        <v>1</v>
      </c>
      <c r="L89" t="s">
        <v>14</v>
      </c>
      <c r="M89" t="s">
        <v>17</v>
      </c>
    </row>
    <row r="90" spans="1:13">
      <c r="A90">
        <v>7900000</v>
      </c>
      <c r="B90">
        <v>7300</v>
      </c>
      <c r="C90">
        <v>5</v>
      </c>
      <c r="D90">
        <v>4</v>
      </c>
      <c r="E90">
        <v>3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3</v>
      </c>
      <c r="L90" t="s">
        <v>13</v>
      </c>
      <c r="M90" t="s">
        <v>15</v>
      </c>
    </row>
    <row r="91" spans="1:13">
      <c r="A91">
        <v>5300000</v>
      </c>
      <c r="B91">
        <v>4900</v>
      </c>
      <c r="C91">
        <v>3</v>
      </c>
      <c r="D91">
        <v>2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13</v>
      </c>
      <c r="K91">
        <v>2</v>
      </c>
      <c r="L91" t="s">
        <v>14</v>
      </c>
      <c r="M91" t="s">
        <v>16</v>
      </c>
    </row>
    <row r="92" spans="1:13">
      <c r="A92">
        <v>4550000</v>
      </c>
      <c r="B92">
        <v>4200</v>
      </c>
      <c r="C92">
        <v>3</v>
      </c>
      <c r="D92">
        <v>2</v>
      </c>
      <c r="E92">
        <v>1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>
        <v>2</v>
      </c>
      <c r="L92" t="s">
        <v>14</v>
      </c>
      <c r="M92" t="s">
        <v>16</v>
      </c>
    </row>
    <row r="93" spans="1:13">
      <c r="A93">
        <v>6200000</v>
      </c>
      <c r="B93">
        <v>5850</v>
      </c>
      <c r="C93">
        <v>4</v>
      </c>
      <c r="D93">
        <v>3</v>
      </c>
      <c r="E93">
        <v>2</v>
      </c>
      <c r="F93" t="s">
        <v>13</v>
      </c>
      <c r="G93" t="s">
        <v>13</v>
      </c>
      <c r="H93" t="s">
        <v>14</v>
      </c>
      <c r="I93" t="s">
        <v>14</v>
      </c>
      <c r="J93" t="s">
        <v>13</v>
      </c>
      <c r="K93">
        <v>2</v>
      </c>
      <c r="L93" t="s">
        <v>13</v>
      </c>
      <c r="M93" t="s">
        <v>15</v>
      </c>
    </row>
    <row r="94" spans="1:13">
      <c r="A94">
        <v>5500000</v>
      </c>
      <c r="B94">
        <v>5150</v>
      </c>
      <c r="C94">
        <v>3</v>
      </c>
      <c r="D94">
        <v>2</v>
      </c>
      <c r="E94">
        <v>2</v>
      </c>
      <c r="F94" t="s">
        <v>13</v>
      </c>
      <c r="G94" t="s">
        <v>14</v>
      </c>
      <c r="H94" t="s">
        <v>13</v>
      </c>
      <c r="I94" t="s">
        <v>14</v>
      </c>
      <c r="J94" t="s">
        <v>13</v>
      </c>
      <c r="K94">
        <v>2</v>
      </c>
      <c r="L94" t="s">
        <v>14</v>
      </c>
      <c r="M94" t="s">
        <v>16</v>
      </c>
    </row>
    <row r="95" spans="1:13">
      <c r="A95">
        <v>4700000</v>
      </c>
      <c r="B95">
        <v>4350</v>
      </c>
      <c r="C95">
        <v>3</v>
      </c>
      <c r="D95">
        <v>2</v>
      </c>
      <c r="E95">
        <v>2</v>
      </c>
      <c r="F95" t="s">
        <v>13</v>
      </c>
      <c r="G95" t="s">
        <v>14</v>
      </c>
      <c r="H95" t="s">
        <v>14</v>
      </c>
      <c r="I95" t="s">
        <v>14</v>
      </c>
      <c r="J95" t="s">
        <v>14</v>
      </c>
      <c r="K95">
        <v>2</v>
      </c>
      <c r="L95" t="s">
        <v>14</v>
      </c>
      <c r="M95" t="s">
        <v>16</v>
      </c>
    </row>
    <row r="96" spans="1:13">
      <c r="A96">
        <v>7150000</v>
      </c>
      <c r="B96">
        <v>6500</v>
      </c>
      <c r="C96">
        <v>5</v>
      </c>
      <c r="D96">
        <v>3</v>
      </c>
      <c r="E96">
        <v>3</v>
      </c>
      <c r="F96" t="s">
        <v>13</v>
      </c>
      <c r="G96" t="s">
        <v>13</v>
      </c>
      <c r="H96" t="s">
        <v>13</v>
      </c>
      <c r="I96" t="s">
        <v>14</v>
      </c>
      <c r="J96" t="s">
        <v>13</v>
      </c>
      <c r="K96">
        <v>3</v>
      </c>
      <c r="L96" t="s">
        <v>13</v>
      </c>
      <c r="M96" t="s">
        <v>15</v>
      </c>
    </row>
    <row r="97" spans="1:13">
      <c r="A97">
        <v>4050000</v>
      </c>
      <c r="B97">
        <v>3700</v>
      </c>
      <c r="C97">
        <v>3</v>
      </c>
      <c r="D97">
        <v>2</v>
      </c>
      <c r="E97">
        <v>1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>
        <v>1</v>
      </c>
      <c r="L97" t="s">
        <v>14</v>
      </c>
      <c r="M97" t="s">
        <v>17</v>
      </c>
    </row>
    <row r="98" spans="1:13">
      <c r="A98">
        <v>6650000</v>
      </c>
      <c r="B98">
        <v>6150</v>
      </c>
      <c r="C98">
        <v>4</v>
      </c>
      <c r="D98">
        <v>3</v>
      </c>
      <c r="E98">
        <v>2</v>
      </c>
      <c r="F98" t="s">
        <v>13</v>
      </c>
      <c r="G98" t="s">
        <v>13</v>
      </c>
      <c r="H98" t="s">
        <v>14</v>
      </c>
      <c r="I98" t="s">
        <v>14</v>
      </c>
      <c r="J98" t="s">
        <v>13</v>
      </c>
      <c r="K98">
        <v>2</v>
      </c>
      <c r="L98" t="s">
        <v>13</v>
      </c>
      <c r="M98" t="s">
        <v>15</v>
      </c>
    </row>
    <row r="99" spans="1:13">
      <c r="A99">
        <v>5850000</v>
      </c>
      <c r="B99">
        <v>5450</v>
      </c>
      <c r="C99">
        <v>4</v>
      </c>
      <c r="D99">
        <v>2</v>
      </c>
      <c r="E99">
        <v>2</v>
      </c>
      <c r="F99" t="s">
        <v>13</v>
      </c>
      <c r="G99" t="s">
        <v>14</v>
      </c>
      <c r="H99" t="s">
        <v>13</v>
      </c>
      <c r="I99" t="s">
        <v>14</v>
      </c>
      <c r="J99" t="s">
        <v>13</v>
      </c>
      <c r="K99">
        <v>2</v>
      </c>
      <c r="L99" t="s">
        <v>14</v>
      </c>
      <c r="M99" t="s">
        <v>16</v>
      </c>
    </row>
    <row r="100" spans="1:13">
      <c r="A100">
        <v>3500000</v>
      </c>
      <c r="B100">
        <v>3000</v>
      </c>
      <c r="C100">
        <v>2</v>
      </c>
      <c r="D100">
        <v>1</v>
      </c>
      <c r="E100">
        <v>1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>
        <v>1</v>
      </c>
      <c r="L100" t="s">
        <v>14</v>
      </c>
      <c r="M100" t="s">
        <v>17</v>
      </c>
    </row>
    <row r="101" spans="1:13">
      <c r="A101">
        <v>8450000</v>
      </c>
      <c r="B101">
        <v>7800</v>
      </c>
      <c r="C101">
        <v>5</v>
      </c>
      <c r="D101">
        <v>4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13</v>
      </c>
      <c r="K101">
        <v>3</v>
      </c>
      <c r="L101" t="s">
        <v>13</v>
      </c>
      <c r="M101" t="s">
        <v>15</v>
      </c>
    </row>
    <row r="102" spans="1:13">
      <c r="A102">
        <v>26500000</v>
      </c>
      <c r="B102">
        <v>9600</v>
      </c>
      <c r="C102">
        <v>6</v>
      </c>
      <c r="D102">
        <v>5</v>
      </c>
      <c r="E102">
        <v>4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  <c r="K102">
        <v>4</v>
      </c>
      <c r="L102" t="s">
        <v>13</v>
      </c>
      <c r="M102" t="s">
        <v>15</v>
      </c>
    </row>
    <row r="103" spans="1:13">
      <c r="A103">
        <v>34000000</v>
      </c>
      <c r="B103">
        <v>11500</v>
      </c>
      <c r="C103">
        <v>7</v>
      </c>
      <c r="D103">
        <v>6</v>
      </c>
      <c r="E103">
        <v>5</v>
      </c>
      <c r="F103" t="s">
        <v>13</v>
      </c>
      <c r="G103" t="s">
        <v>13</v>
      </c>
      <c r="H103" t="s">
        <v>13</v>
      </c>
      <c r="I103" t="s">
        <v>13</v>
      </c>
      <c r="J103" t="s">
        <v>13</v>
      </c>
      <c r="K103">
        <v>5</v>
      </c>
      <c r="L103" t="s">
        <v>13</v>
      </c>
      <c r="M103" t="s">
        <v>15</v>
      </c>
    </row>
    <row r="104" spans="1:13">
      <c r="A104">
        <v>47000000</v>
      </c>
      <c r="B104">
        <v>15000</v>
      </c>
      <c r="C104">
        <v>8</v>
      </c>
      <c r="D104">
        <v>7</v>
      </c>
      <c r="E104">
        <v>6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  <c r="K104">
        <v>6</v>
      </c>
      <c r="L104" t="s">
        <v>13</v>
      </c>
      <c r="M104" t="s">
        <v>15</v>
      </c>
    </row>
    <row r="105" spans="1:13">
      <c r="A105">
        <v>58000000</v>
      </c>
      <c r="B105">
        <v>18500</v>
      </c>
      <c r="C105">
        <v>9</v>
      </c>
      <c r="D105">
        <v>8</v>
      </c>
      <c r="E105">
        <v>7</v>
      </c>
      <c r="F105" t="s">
        <v>13</v>
      </c>
      <c r="G105" t="s">
        <v>13</v>
      </c>
      <c r="H105" t="s">
        <v>13</v>
      </c>
      <c r="I105" t="s">
        <v>13</v>
      </c>
      <c r="J105" t="s">
        <v>13</v>
      </c>
      <c r="K105">
        <v>8</v>
      </c>
      <c r="L105" t="s">
        <v>13</v>
      </c>
      <c r="M105" t="s">
        <v>15</v>
      </c>
    </row>
    <row r="106" spans="1:13">
      <c r="A106">
        <v>62000000</v>
      </c>
      <c r="B106">
        <v>22000</v>
      </c>
      <c r="C106">
        <v>10</v>
      </c>
      <c r="D106">
        <v>9</v>
      </c>
      <c r="E106">
        <v>8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  <c r="K106">
        <v>10</v>
      </c>
      <c r="L106" t="s">
        <v>13</v>
      </c>
      <c r="M106" t="s">
        <v>15</v>
      </c>
    </row>
    <row r="107" spans="1:13">
      <c r="A107">
        <v>4950000</v>
      </c>
      <c r="B107">
        <v>4550</v>
      </c>
      <c r="C107">
        <v>3</v>
      </c>
      <c r="D107">
        <v>2</v>
      </c>
      <c r="E107">
        <v>2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2</v>
      </c>
      <c r="L107" t="s">
        <v>14</v>
      </c>
      <c r="M107" t="s">
        <v>16</v>
      </c>
    </row>
    <row r="108" spans="1:13">
      <c r="A108">
        <v>6400000</v>
      </c>
      <c r="B108">
        <v>6000</v>
      </c>
      <c r="C108">
        <v>4</v>
      </c>
      <c r="D108">
        <v>3</v>
      </c>
      <c r="E108">
        <v>2</v>
      </c>
      <c r="F108" t="s">
        <v>13</v>
      </c>
      <c r="G108" t="s">
        <v>13</v>
      </c>
      <c r="H108" t="s">
        <v>14</v>
      </c>
      <c r="I108" t="s">
        <v>14</v>
      </c>
      <c r="J108" t="s">
        <v>13</v>
      </c>
      <c r="K108">
        <v>2</v>
      </c>
      <c r="L108" t="s">
        <v>13</v>
      </c>
      <c r="M108" t="s">
        <v>15</v>
      </c>
    </row>
    <row r="109" spans="1:13">
      <c r="A109">
        <v>5200000</v>
      </c>
      <c r="B109">
        <v>4850</v>
      </c>
      <c r="C109">
        <v>3</v>
      </c>
      <c r="D109">
        <v>2</v>
      </c>
      <c r="E109">
        <v>2</v>
      </c>
      <c r="F109" t="s">
        <v>13</v>
      </c>
      <c r="G109" t="s">
        <v>14</v>
      </c>
      <c r="H109" t="s">
        <v>13</v>
      </c>
      <c r="I109" t="s">
        <v>14</v>
      </c>
      <c r="J109" t="s">
        <v>13</v>
      </c>
      <c r="K109">
        <v>2</v>
      </c>
      <c r="L109" t="s">
        <v>14</v>
      </c>
      <c r="M109" t="s">
        <v>16</v>
      </c>
    </row>
    <row r="110" spans="1:13">
      <c r="A110">
        <v>4100000</v>
      </c>
      <c r="B110">
        <v>3550</v>
      </c>
      <c r="C110">
        <v>2</v>
      </c>
      <c r="D110">
        <v>1</v>
      </c>
      <c r="E110">
        <v>1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17</v>
      </c>
    </row>
    <row r="111" spans="1:13">
      <c r="A111">
        <v>7700000</v>
      </c>
      <c r="B111">
        <v>7050</v>
      </c>
      <c r="C111">
        <v>5</v>
      </c>
      <c r="D111">
        <v>3</v>
      </c>
      <c r="E111">
        <v>3</v>
      </c>
      <c r="F111" t="s">
        <v>13</v>
      </c>
      <c r="G111" t="s">
        <v>13</v>
      </c>
      <c r="H111" t="s">
        <v>13</v>
      </c>
      <c r="I111" t="s">
        <v>14</v>
      </c>
      <c r="J111" t="s">
        <v>13</v>
      </c>
      <c r="K111">
        <v>3</v>
      </c>
      <c r="L111" t="s">
        <v>13</v>
      </c>
      <c r="M111" t="s">
        <v>15</v>
      </c>
    </row>
    <row r="112" spans="1:13">
      <c r="A112">
        <v>5050000</v>
      </c>
      <c r="B112">
        <v>4650</v>
      </c>
      <c r="C112">
        <v>3</v>
      </c>
      <c r="D112">
        <v>2</v>
      </c>
      <c r="E112">
        <v>2</v>
      </c>
      <c r="F112" t="s">
        <v>13</v>
      </c>
      <c r="G112" t="s">
        <v>14</v>
      </c>
      <c r="H112" t="s">
        <v>14</v>
      </c>
      <c r="I112" t="s">
        <v>14</v>
      </c>
      <c r="J112" t="s">
        <v>13</v>
      </c>
      <c r="K112">
        <v>2</v>
      </c>
      <c r="L112" t="s">
        <v>14</v>
      </c>
      <c r="M112" t="s">
        <v>16</v>
      </c>
    </row>
    <row r="113" spans="1:13">
      <c r="A113">
        <v>5950000</v>
      </c>
      <c r="B113">
        <v>5550</v>
      </c>
      <c r="C113">
        <v>4</v>
      </c>
      <c r="D113">
        <v>3</v>
      </c>
      <c r="E113">
        <v>2</v>
      </c>
      <c r="F113" t="s">
        <v>13</v>
      </c>
      <c r="G113" t="s">
        <v>13</v>
      </c>
      <c r="H113" t="s">
        <v>14</v>
      </c>
      <c r="I113" t="s">
        <v>14</v>
      </c>
      <c r="J113" t="s">
        <v>13</v>
      </c>
      <c r="K113">
        <v>2</v>
      </c>
      <c r="L113" t="s">
        <v>13</v>
      </c>
      <c r="M113" t="s">
        <v>15</v>
      </c>
    </row>
    <row r="114" spans="1:13">
      <c r="A114">
        <v>3750000</v>
      </c>
      <c r="B114">
        <v>3300</v>
      </c>
      <c r="C114">
        <v>2</v>
      </c>
      <c r="D114">
        <v>1</v>
      </c>
      <c r="E114">
        <v>1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>
        <v>1</v>
      </c>
      <c r="L114" t="s">
        <v>14</v>
      </c>
      <c r="M114" t="s">
        <v>17</v>
      </c>
    </row>
    <row r="115" spans="1:13">
      <c r="A115">
        <v>7150000</v>
      </c>
      <c r="B115">
        <v>6500</v>
      </c>
      <c r="C115">
        <v>5</v>
      </c>
      <c r="D115">
        <v>3</v>
      </c>
      <c r="E115">
        <v>3</v>
      </c>
      <c r="F115" t="s">
        <v>13</v>
      </c>
      <c r="G115" t="s">
        <v>13</v>
      </c>
      <c r="H115" t="s">
        <v>13</v>
      </c>
      <c r="I115" t="s">
        <v>14</v>
      </c>
      <c r="J115" t="s">
        <v>13</v>
      </c>
      <c r="K115">
        <v>3</v>
      </c>
      <c r="L115" t="s">
        <v>13</v>
      </c>
      <c r="M115" t="s">
        <v>15</v>
      </c>
    </row>
    <row r="116" spans="1:13">
      <c r="A116">
        <v>4850000</v>
      </c>
      <c r="B116">
        <v>4450</v>
      </c>
      <c r="C116">
        <v>3</v>
      </c>
      <c r="D116">
        <v>2</v>
      </c>
      <c r="E116">
        <v>2</v>
      </c>
      <c r="F116" t="s">
        <v>13</v>
      </c>
      <c r="G116" t="s">
        <v>14</v>
      </c>
      <c r="H116" t="s">
        <v>13</v>
      </c>
      <c r="I116" t="s">
        <v>14</v>
      </c>
      <c r="J116" t="s">
        <v>13</v>
      </c>
      <c r="K116">
        <v>2</v>
      </c>
      <c r="L116" t="s">
        <v>14</v>
      </c>
      <c r="M116" t="s">
        <v>16</v>
      </c>
    </row>
    <row r="117" spans="1:13">
      <c r="A117">
        <v>6650000</v>
      </c>
      <c r="B117">
        <v>6150</v>
      </c>
      <c r="C117">
        <v>4</v>
      </c>
      <c r="D117">
        <v>3</v>
      </c>
      <c r="E117">
        <v>2</v>
      </c>
      <c r="F117" t="s">
        <v>13</v>
      </c>
      <c r="G117" t="s">
        <v>13</v>
      </c>
      <c r="H117" t="s">
        <v>14</v>
      </c>
      <c r="I117" t="s">
        <v>14</v>
      </c>
      <c r="J117" t="s">
        <v>13</v>
      </c>
      <c r="K117">
        <v>2</v>
      </c>
      <c r="L117" t="s">
        <v>13</v>
      </c>
      <c r="M117" t="s">
        <v>15</v>
      </c>
    </row>
    <row r="118" spans="1:13">
      <c r="A118">
        <v>4550000</v>
      </c>
      <c r="B118">
        <v>4250</v>
      </c>
      <c r="C118">
        <v>3</v>
      </c>
      <c r="D118">
        <v>2</v>
      </c>
      <c r="E118">
        <v>2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  <c r="K118">
        <v>2</v>
      </c>
      <c r="L118" t="s">
        <v>14</v>
      </c>
      <c r="M118" t="s">
        <v>17</v>
      </c>
    </row>
    <row r="119" spans="1:13">
      <c r="A119">
        <v>3500000</v>
      </c>
      <c r="B119">
        <v>2950</v>
      </c>
      <c r="C119">
        <v>2</v>
      </c>
      <c r="D119">
        <v>1</v>
      </c>
      <c r="E119">
        <v>1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>
        <v>1</v>
      </c>
      <c r="L119" t="s">
        <v>14</v>
      </c>
      <c r="M119" t="s">
        <v>17</v>
      </c>
    </row>
    <row r="120" spans="1:13">
      <c r="A120">
        <v>8350000</v>
      </c>
      <c r="B120">
        <v>7600</v>
      </c>
      <c r="C120">
        <v>5</v>
      </c>
      <c r="D120">
        <v>4</v>
      </c>
      <c r="E120">
        <v>3</v>
      </c>
      <c r="F120" t="s">
        <v>13</v>
      </c>
      <c r="G120" t="s">
        <v>13</v>
      </c>
      <c r="H120" t="s">
        <v>13</v>
      </c>
      <c r="I120" t="s">
        <v>14</v>
      </c>
      <c r="J120" t="s">
        <v>13</v>
      </c>
      <c r="K120">
        <v>3</v>
      </c>
      <c r="L120" t="s">
        <v>13</v>
      </c>
      <c r="M120" t="s">
        <v>15</v>
      </c>
    </row>
    <row r="121" spans="1:13">
      <c r="A121">
        <v>5400000</v>
      </c>
      <c r="B121">
        <v>5050</v>
      </c>
      <c r="C121">
        <v>3</v>
      </c>
      <c r="D121">
        <v>2</v>
      </c>
      <c r="E121">
        <v>2</v>
      </c>
      <c r="F121" t="s">
        <v>13</v>
      </c>
      <c r="G121" t="s">
        <v>14</v>
      </c>
      <c r="H121" t="s">
        <v>14</v>
      </c>
      <c r="I121" t="s">
        <v>14</v>
      </c>
      <c r="J121" t="s">
        <v>13</v>
      </c>
      <c r="K121">
        <v>2</v>
      </c>
      <c r="L121" t="s">
        <v>14</v>
      </c>
      <c r="M121" t="s">
        <v>16</v>
      </c>
    </row>
    <row r="122" spans="1:13">
      <c r="A122">
        <v>4250000</v>
      </c>
      <c r="B122">
        <v>3900</v>
      </c>
      <c r="C122">
        <v>3</v>
      </c>
      <c r="D122">
        <v>2</v>
      </c>
      <c r="E122">
        <v>1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  <c r="K122">
        <v>1</v>
      </c>
      <c r="L122" t="s">
        <v>14</v>
      </c>
      <c r="M122" t="s">
        <v>17</v>
      </c>
    </row>
    <row r="123" spans="1:13">
      <c r="A123">
        <v>6450000</v>
      </c>
      <c r="B123">
        <v>5950</v>
      </c>
      <c r="C123">
        <v>4</v>
      </c>
      <c r="D123">
        <v>3</v>
      </c>
      <c r="E123">
        <v>2</v>
      </c>
      <c r="F123" t="s">
        <v>13</v>
      </c>
      <c r="G123" t="s">
        <v>13</v>
      </c>
      <c r="H123" t="s">
        <v>14</v>
      </c>
      <c r="I123" t="s">
        <v>14</v>
      </c>
      <c r="J123" t="s">
        <v>13</v>
      </c>
      <c r="K123">
        <v>2</v>
      </c>
      <c r="L123" t="s">
        <v>13</v>
      </c>
      <c r="M123" t="s">
        <v>15</v>
      </c>
    </row>
    <row r="124" spans="1:13">
      <c r="A124">
        <v>5600000</v>
      </c>
      <c r="B124">
        <v>5250</v>
      </c>
      <c r="C124">
        <v>4</v>
      </c>
      <c r="D124">
        <v>2</v>
      </c>
      <c r="E124">
        <v>2</v>
      </c>
      <c r="F124" t="s">
        <v>13</v>
      </c>
      <c r="G124" t="s">
        <v>14</v>
      </c>
      <c r="H124" t="s">
        <v>13</v>
      </c>
      <c r="I124" t="s">
        <v>14</v>
      </c>
      <c r="J124" t="s">
        <v>13</v>
      </c>
      <c r="K124">
        <v>2</v>
      </c>
      <c r="L124" t="s">
        <v>14</v>
      </c>
      <c r="M124" t="s">
        <v>16</v>
      </c>
    </row>
    <row r="125" spans="1:13">
      <c r="A125">
        <v>4750000</v>
      </c>
      <c r="B125">
        <v>4400</v>
      </c>
      <c r="C125">
        <v>3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2</v>
      </c>
      <c r="L125" t="s">
        <v>14</v>
      </c>
      <c r="M125" t="s">
        <v>16</v>
      </c>
    </row>
    <row r="126" spans="1:13">
      <c r="A126">
        <v>7450000</v>
      </c>
      <c r="B126">
        <v>6800</v>
      </c>
      <c r="C126">
        <v>5</v>
      </c>
      <c r="D126">
        <v>3</v>
      </c>
      <c r="E126">
        <v>3</v>
      </c>
      <c r="F126" t="s">
        <v>13</v>
      </c>
      <c r="G126" t="s">
        <v>13</v>
      </c>
      <c r="H126" t="s">
        <v>13</v>
      </c>
      <c r="I126" t="s">
        <v>14</v>
      </c>
      <c r="J126" t="s">
        <v>13</v>
      </c>
      <c r="K126">
        <v>3</v>
      </c>
      <c r="L126" t="s">
        <v>13</v>
      </c>
      <c r="M126" t="s">
        <v>15</v>
      </c>
    </row>
    <row r="127" spans="1:13">
      <c r="A127">
        <v>4050000</v>
      </c>
      <c r="B127">
        <v>3650</v>
      </c>
      <c r="C127">
        <v>3</v>
      </c>
      <c r="D127">
        <v>2</v>
      </c>
      <c r="E127">
        <v>1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>
        <v>1</v>
      </c>
      <c r="L127" t="s">
        <v>14</v>
      </c>
      <c r="M127" t="s">
        <v>17</v>
      </c>
    </row>
    <row r="128" spans="1:13">
      <c r="A128">
        <v>6850000</v>
      </c>
      <c r="B128">
        <v>6250</v>
      </c>
      <c r="C128">
        <v>4</v>
      </c>
      <c r="D128">
        <v>3</v>
      </c>
      <c r="E128">
        <v>2</v>
      </c>
      <c r="F128" t="s">
        <v>13</v>
      </c>
      <c r="G128" t="s">
        <v>13</v>
      </c>
      <c r="H128" t="s">
        <v>14</v>
      </c>
      <c r="I128" t="s">
        <v>14</v>
      </c>
      <c r="J128" t="s">
        <v>13</v>
      </c>
      <c r="K128">
        <v>2</v>
      </c>
      <c r="L128" t="s">
        <v>13</v>
      </c>
      <c r="M128" t="s">
        <v>15</v>
      </c>
    </row>
    <row r="129" spans="1:13">
      <c r="A129">
        <v>5750000</v>
      </c>
      <c r="B129">
        <v>5400</v>
      </c>
      <c r="C129">
        <v>4</v>
      </c>
      <c r="D129">
        <v>2</v>
      </c>
      <c r="E129">
        <v>2</v>
      </c>
      <c r="F129" t="s">
        <v>13</v>
      </c>
      <c r="G129" t="s">
        <v>14</v>
      </c>
      <c r="H129" t="s">
        <v>13</v>
      </c>
      <c r="I129" t="s">
        <v>14</v>
      </c>
      <c r="J129" t="s">
        <v>13</v>
      </c>
      <c r="K129">
        <v>2</v>
      </c>
      <c r="L129" t="s">
        <v>14</v>
      </c>
      <c r="M129" t="s">
        <v>16</v>
      </c>
    </row>
    <row r="130" spans="1:13">
      <c r="A130">
        <v>3650000</v>
      </c>
      <c r="B130">
        <v>3150</v>
      </c>
      <c r="C130">
        <v>2</v>
      </c>
      <c r="D130">
        <v>1</v>
      </c>
      <c r="E130">
        <v>1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>
        <v>1</v>
      </c>
      <c r="L130" t="s">
        <v>14</v>
      </c>
      <c r="M130" t="s">
        <v>17</v>
      </c>
    </row>
    <row r="131" spans="1:13">
      <c r="A131">
        <v>8600000</v>
      </c>
      <c r="B131">
        <v>7900</v>
      </c>
      <c r="C131">
        <v>5</v>
      </c>
      <c r="D131">
        <v>4</v>
      </c>
      <c r="E131">
        <v>3</v>
      </c>
      <c r="F131" t="s">
        <v>13</v>
      </c>
      <c r="G131" t="s">
        <v>13</v>
      </c>
      <c r="H131" t="s">
        <v>13</v>
      </c>
      <c r="I131" t="s">
        <v>14</v>
      </c>
      <c r="J131" t="s">
        <v>13</v>
      </c>
      <c r="K131">
        <v>3</v>
      </c>
      <c r="L131" t="s">
        <v>13</v>
      </c>
      <c r="M131" t="s">
        <v>15</v>
      </c>
    </row>
    <row r="132" spans="1:13">
      <c r="A132">
        <v>27500000</v>
      </c>
      <c r="B132">
        <v>9900</v>
      </c>
      <c r="C132">
        <v>6</v>
      </c>
      <c r="D132">
        <v>5</v>
      </c>
      <c r="E132">
        <v>4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K132">
        <v>4</v>
      </c>
      <c r="L132" t="s">
        <v>13</v>
      </c>
      <c r="M132" t="s">
        <v>15</v>
      </c>
    </row>
    <row r="133" spans="1:13">
      <c r="A133">
        <v>38500000</v>
      </c>
      <c r="B133">
        <v>12500</v>
      </c>
      <c r="C133">
        <v>7</v>
      </c>
      <c r="D133">
        <v>6</v>
      </c>
      <c r="E133">
        <v>5</v>
      </c>
      <c r="F133" t="s">
        <v>13</v>
      </c>
      <c r="G133" t="s">
        <v>13</v>
      </c>
      <c r="H133" t="s">
        <v>13</v>
      </c>
      <c r="I133" t="s">
        <v>13</v>
      </c>
      <c r="J133" t="s">
        <v>13</v>
      </c>
      <c r="K133">
        <v>5</v>
      </c>
      <c r="L133" t="s">
        <v>13</v>
      </c>
      <c r="M133" t="s">
        <v>15</v>
      </c>
    </row>
    <row r="134" spans="1:13">
      <c r="A134">
        <v>49500000</v>
      </c>
      <c r="B134">
        <v>16000</v>
      </c>
      <c r="C134">
        <v>8</v>
      </c>
      <c r="D134">
        <v>7</v>
      </c>
      <c r="E134">
        <v>6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K134">
        <v>6</v>
      </c>
      <c r="L134" t="s">
        <v>13</v>
      </c>
      <c r="M134" t="s">
        <v>15</v>
      </c>
    </row>
    <row r="135" spans="1:13">
      <c r="A135">
        <v>61000000</v>
      </c>
      <c r="B135">
        <v>20000</v>
      </c>
      <c r="C135">
        <v>9</v>
      </c>
      <c r="D135">
        <v>8</v>
      </c>
      <c r="E135">
        <v>7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K135">
        <v>8</v>
      </c>
      <c r="L135" t="s">
        <v>13</v>
      </c>
      <c r="M135" t="s">
        <v>15</v>
      </c>
    </row>
    <row r="136" spans="1:13">
      <c r="A136">
        <v>72500000</v>
      </c>
      <c r="B136">
        <v>24500</v>
      </c>
      <c r="C136">
        <v>10</v>
      </c>
      <c r="D136">
        <v>9</v>
      </c>
      <c r="E136">
        <v>8</v>
      </c>
      <c r="F136" t="s">
        <v>13</v>
      </c>
      <c r="G136" t="s">
        <v>13</v>
      </c>
      <c r="H136" t="s">
        <v>13</v>
      </c>
      <c r="I136" t="s">
        <v>13</v>
      </c>
      <c r="J136" t="s">
        <v>13</v>
      </c>
      <c r="K136">
        <v>10</v>
      </c>
      <c r="L136" t="s">
        <v>13</v>
      </c>
      <c r="M136" t="s">
        <v>15</v>
      </c>
    </row>
    <row r="137" spans="1:13">
      <c r="A137">
        <v>5150000</v>
      </c>
      <c r="B137">
        <v>4700</v>
      </c>
      <c r="C137">
        <v>3</v>
      </c>
      <c r="D137">
        <v>2</v>
      </c>
      <c r="E137">
        <v>2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2</v>
      </c>
      <c r="L137" t="s">
        <v>14</v>
      </c>
      <c r="M137" t="s">
        <v>16</v>
      </c>
    </row>
    <row r="138" spans="1:13">
      <c r="A138">
        <v>6050000</v>
      </c>
      <c r="B138">
        <v>5650</v>
      </c>
      <c r="C138">
        <v>4</v>
      </c>
      <c r="D138">
        <v>3</v>
      </c>
      <c r="E138">
        <v>2</v>
      </c>
      <c r="F138" t="s">
        <v>13</v>
      </c>
      <c r="G138" t="s">
        <v>13</v>
      </c>
      <c r="H138" t="s">
        <v>14</v>
      </c>
      <c r="I138" t="s">
        <v>14</v>
      </c>
      <c r="J138" t="s">
        <v>13</v>
      </c>
      <c r="K138">
        <v>2</v>
      </c>
      <c r="L138" t="s">
        <v>13</v>
      </c>
      <c r="M138" t="s">
        <v>15</v>
      </c>
    </row>
    <row r="139" spans="1:13">
      <c r="A139">
        <v>4450000</v>
      </c>
      <c r="B139">
        <v>4100</v>
      </c>
      <c r="C139">
        <v>3</v>
      </c>
      <c r="D139">
        <v>2</v>
      </c>
      <c r="E139">
        <v>1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>
        <v>2</v>
      </c>
      <c r="L139" t="s">
        <v>14</v>
      </c>
      <c r="M139" t="s">
        <v>17</v>
      </c>
    </row>
    <row r="140" spans="1:13">
      <c r="A140">
        <v>7850000</v>
      </c>
      <c r="B140">
        <v>7150</v>
      </c>
      <c r="C140">
        <v>5</v>
      </c>
      <c r="D140">
        <v>3</v>
      </c>
      <c r="E140">
        <v>3</v>
      </c>
      <c r="F140" t="s">
        <v>13</v>
      </c>
      <c r="G140" t="s">
        <v>13</v>
      </c>
      <c r="H140" t="s">
        <v>13</v>
      </c>
      <c r="I140" t="s">
        <v>14</v>
      </c>
      <c r="J140" t="s">
        <v>13</v>
      </c>
      <c r="K140">
        <v>3</v>
      </c>
      <c r="L140" t="s">
        <v>13</v>
      </c>
      <c r="M140" t="s">
        <v>15</v>
      </c>
    </row>
    <row r="141" spans="1:13">
      <c r="A141">
        <v>5550000</v>
      </c>
      <c r="B141">
        <v>5150</v>
      </c>
      <c r="C141">
        <v>4</v>
      </c>
      <c r="D141">
        <v>2</v>
      </c>
      <c r="E141">
        <v>2</v>
      </c>
      <c r="F141" t="s">
        <v>13</v>
      </c>
      <c r="G141" t="s">
        <v>14</v>
      </c>
      <c r="H141" t="s">
        <v>13</v>
      </c>
      <c r="I141" t="s">
        <v>14</v>
      </c>
      <c r="J141" t="s">
        <v>13</v>
      </c>
      <c r="K141">
        <v>2</v>
      </c>
      <c r="L141" t="s">
        <v>14</v>
      </c>
      <c r="M141" t="s">
        <v>16</v>
      </c>
    </row>
    <row r="142" spans="1:13">
      <c r="A142">
        <v>4950000</v>
      </c>
      <c r="B142">
        <v>4550</v>
      </c>
      <c r="C142">
        <v>3</v>
      </c>
      <c r="D142">
        <v>2</v>
      </c>
      <c r="E142">
        <v>2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2</v>
      </c>
      <c r="L142" t="s">
        <v>14</v>
      </c>
      <c r="M142" t="s">
        <v>16</v>
      </c>
    </row>
    <row r="143" spans="1:13">
      <c r="A143">
        <v>5750000</v>
      </c>
      <c r="B143">
        <v>5400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14</v>
      </c>
      <c r="I143" t="s">
        <v>14</v>
      </c>
      <c r="J143" t="s">
        <v>13</v>
      </c>
      <c r="K143">
        <v>2</v>
      </c>
      <c r="L143" t="s">
        <v>13</v>
      </c>
      <c r="M143" t="s">
        <v>15</v>
      </c>
    </row>
    <row r="144" spans="1:13">
      <c r="A144">
        <v>3650000</v>
      </c>
      <c r="B144">
        <v>3200</v>
      </c>
      <c r="C144">
        <v>2</v>
      </c>
      <c r="D144">
        <v>1</v>
      </c>
      <c r="E144">
        <v>1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17</v>
      </c>
    </row>
    <row r="145" spans="1:13">
      <c r="A145">
        <v>7050000</v>
      </c>
      <c r="B145">
        <v>6450</v>
      </c>
      <c r="C145">
        <v>5</v>
      </c>
      <c r="D145">
        <v>3</v>
      </c>
      <c r="E145">
        <v>3</v>
      </c>
      <c r="F145" t="s">
        <v>13</v>
      </c>
      <c r="G145" t="s">
        <v>13</v>
      </c>
      <c r="H145" t="s">
        <v>13</v>
      </c>
      <c r="I145" t="s">
        <v>14</v>
      </c>
      <c r="J145" t="s">
        <v>13</v>
      </c>
      <c r="K145">
        <v>3</v>
      </c>
      <c r="L145" t="s">
        <v>13</v>
      </c>
      <c r="M145" t="s">
        <v>15</v>
      </c>
    </row>
    <row r="146" spans="1:13">
      <c r="A146">
        <v>5150000</v>
      </c>
      <c r="B146">
        <v>4800</v>
      </c>
      <c r="C146">
        <v>3</v>
      </c>
      <c r="D146">
        <v>2</v>
      </c>
      <c r="E146">
        <v>2</v>
      </c>
      <c r="F146" t="s">
        <v>13</v>
      </c>
      <c r="G146" t="s">
        <v>14</v>
      </c>
      <c r="H146" t="s">
        <v>13</v>
      </c>
      <c r="I146" t="s">
        <v>14</v>
      </c>
      <c r="J146" t="s">
        <v>13</v>
      </c>
      <c r="K146">
        <v>2</v>
      </c>
      <c r="L146" t="s">
        <v>14</v>
      </c>
      <c r="M146" t="s">
        <v>16</v>
      </c>
    </row>
    <row r="147" spans="1:13">
      <c r="A147">
        <v>6550000</v>
      </c>
      <c r="B147">
        <v>6050</v>
      </c>
      <c r="C147">
        <v>4</v>
      </c>
      <c r="D147">
        <v>3</v>
      </c>
      <c r="E147">
        <v>2</v>
      </c>
      <c r="F147" t="s">
        <v>13</v>
      </c>
      <c r="G147" t="s">
        <v>13</v>
      </c>
      <c r="H147" t="s">
        <v>14</v>
      </c>
      <c r="I147" t="s">
        <v>14</v>
      </c>
      <c r="J147" t="s">
        <v>13</v>
      </c>
      <c r="K147">
        <v>2</v>
      </c>
      <c r="L147" t="s">
        <v>13</v>
      </c>
      <c r="M147" t="s">
        <v>15</v>
      </c>
    </row>
    <row r="148" spans="1:13">
      <c r="A148">
        <v>4450000</v>
      </c>
      <c r="B148">
        <v>4100</v>
      </c>
      <c r="C148">
        <v>3</v>
      </c>
      <c r="D148">
        <v>2</v>
      </c>
      <c r="E148">
        <v>1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>
        <v>2</v>
      </c>
      <c r="L148" t="s">
        <v>14</v>
      </c>
      <c r="M148" t="s">
        <v>17</v>
      </c>
    </row>
    <row r="149" spans="1:13">
      <c r="A149">
        <v>3850000</v>
      </c>
      <c r="B149">
        <v>3450</v>
      </c>
      <c r="C149">
        <v>2</v>
      </c>
      <c r="D149">
        <v>1</v>
      </c>
      <c r="E149">
        <v>1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17</v>
      </c>
    </row>
    <row r="150" spans="1:13">
      <c r="A150">
        <v>8150000</v>
      </c>
      <c r="B150">
        <v>7450</v>
      </c>
      <c r="C150">
        <v>5</v>
      </c>
      <c r="D150">
        <v>4</v>
      </c>
      <c r="E150">
        <v>3</v>
      </c>
      <c r="F150" t="s">
        <v>13</v>
      </c>
      <c r="G150" t="s">
        <v>13</v>
      </c>
      <c r="H150" t="s">
        <v>13</v>
      </c>
      <c r="I150" t="s">
        <v>14</v>
      </c>
      <c r="J150" t="s">
        <v>13</v>
      </c>
      <c r="K150">
        <v>3</v>
      </c>
      <c r="L150" t="s">
        <v>13</v>
      </c>
      <c r="M150" t="s">
        <v>15</v>
      </c>
    </row>
    <row r="151" spans="1:13">
      <c r="A151">
        <v>5350000</v>
      </c>
      <c r="B151">
        <v>5000</v>
      </c>
      <c r="C151">
        <v>3</v>
      </c>
      <c r="D151">
        <v>2</v>
      </c>
      <c r="E151">
        <v>2</v>
      </c>
      <c r="F151" t="s">
        <v>13</v>
      </c>
      <c r="G151" t="s">
        <v>14</v>
      </c>
      <c r="H151" t="s">
        <v>14</v>
      </c>
      <c r="I151" t="s">
        <v>14</v>
      </c>
      <c r="J151" t="s">
        <v>13</v>
      </c>
      <c r="K151">
        <v>2</v>
      </c>
      <c r="L151" t="s">
        <v>14</v>
      </c>
      <c r="M151" t="s">
        <v>16</v>
      </c>
    </row>
    <row r="152" spans="1:13">
      <c r="A152">
        <v>4250000</v>
      </c>
      <c r="B152">
        <v>3950</v>
      </c>
      <c r="C152">
        <v>3</v>
      </c>
      <c r="D152">
        <v>2</v>
      </c>
      <c r="E152">
        <v>1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>
        <v>1</v>
      </c>
      <c r="L152" t="s">
        <v>14</v>
      </c>
      <c r="M152" t="s">
        <v>17</v>
      </c>
    </row>
    <row r="153" spans="1:13">
      <c r="A153">
        <v>6250000</v>
      </c>
      <c r="B153">
        <v>5800</v>
      </c>
      <c r="C153">
        <v>4</v>
      </c>
      <c r="D153">
        <v>3</v>
      </c>
      <c r="E153">
        <v>2</v>
      </c>
      <c r="F153" t="s">
        <v>13</v>
      </c>
      <c r="G153" t="s">
        <v>13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15</v>
      </c>
    </row>
    <row r="154" spans="1:13">
      <c r="A154">
        <v>5550000</v>
      </c>
      <c r="B154">
        <v>5200</v>
      </c>
      <c r="C154">
        <v>4</v>
      </c>
      <c r="D154">
        <v>2</v>
      </c>
      <c r="E154">
        <v>2</v>
      </c>
      <c r="F154" t="s">
        <v>13</v>
      </c>
      <c r="G154" t="s">
        <v>14</v>
      </c>
      <c r="H154" t="s">
        <v>13</v>
      </c>
      <c r="I154" t="s">
        <v>14</v>
      </c>
      <c r="J154" t="s">
        <v>13</v>
      </c>
      <c r="K154">
        <v>2</v>
      </c>
      <c r="L154" t="s">
        <v>14</v>
      </c>
      <c r="M154" t="s">
        <v>16</v>
      </c>
    </row>
    <row r="155" spans="1:13">
      <c r="A155">
        <v>4650000</v>
      </c>
      <c r="B155">
        <v>4300</v>
      </c>
      <c r="C155">
        <v>3</v>
      </c>
      <c r="D155">
        <v>2</v>
      </c>
      <c r="E155">
        <v>2</v>
      </c>
      <c r="F155" t="s">
        <v>13</v>
      </c>
      <c r="G155" t="s">
        <v>14</v>
      </c>
      <c r="H155" t="s">
        <v>14</v>
      </c>
      <c r="I155" t="s">
        <v>14</v>
      </c>
      <c r="J155" t="s">
        <v>14</v>
      </c>
      <c r="K155">
        <v>2</v>
      </c>
      <c r="L155" t="s">
        <v>14</v>
      </c>
      <c r="M155" t="s">
        <v>16</v>
      </c>
    </row>
    <row r="156" spans="1:13">
      <c r="A156">
        <v>7350000</v>
      </c>
      <c r="B156">
        <v>6700</v>
      </c>
      <c r="C156">
        <v>5</v>
      </c>
      <c r="D156">
        <v>3</v>
      </c>
      <c r="E156">
        <v>3</v>
      </c>
      <c r="F156" t="s">
        <v>13</v>
      </c>
      <c r="G156" t="s">
        <v>13</v>
      </c>
      <c r="H156" t="s">
        <v>13</v>
      </c>
      <c r="I156" t="s">
        <v>14</v>
      </c>
      <c r="J156" t="s">
        <v>13</v>
      </c>
      <c r="K156">
        <v>3</v>
      </c>
      <c r="L156" t="s">
        <v>13</v>
      </c>
      <c r="M156" t="s">
        <v>15</v>
      </c>
    </row>
    <row r="157" spans="1:13">
      <c r="A157">
        <v>4150000</v>
      </c>
      <c r="B157">
        <v>3750</v>
      </c>
      <c r="C157">
        <v>3</v>
      </c>
      <c r="D157">
        <v>2</v>
      </c>
      <c r="E157">
        <v>1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>
        <v>1</v>
      </c>
      <c r="L157" t="s">
        <v>14</v>
      </c>
      <c r="M157" t="s">
        <v>17</v>
      </c>
    </row>
    <row r="158" spans="1:13">
      <c r="A158">
        <v>6750000</v>
      </c>
      <c r="B158">
        <v>6200</v>
      </c>
      <c r="C158">
        <v>4</v>
      </c>
      <c r="D158">
        <v>3</v>
      </c>
      <c r="E158">
        <v>2</v>
      </c>
      <c r="F158" t="s">
        <v>13</v>
      </c>
      <c r="G158" t="s">
        <v>13</v>
      </c>
      <c r="H158" t="s">
        <v>14</v>
      </c>
      <c r="I158" t="s">
        <v>14</v>
      </c>
      <c r="J158" t="s">
        <v>13</v>
      </c>
      <c r="K158">
        <v>2</v>
      </c>
      <c r="L158" t="s">
        <v>13</v>
      </c>
      <c r="M158" t="s">
        <v>15</v>
      </c>
    </row>
    <row r="159" spans="1:13">
      <c r="A159">
        <v>5850000</v>
      </c>
      <c r="B159">
        <v>5500</v>
      </c>
      <c r="C159">
        <v>4</v>
      </c>
      <c r="D159">
        <v>2</v>
      </c>
      <c r="E159">
        <v>2</v>
      </c>
      <c r="F159" t="s">
        <v>13</v>
      </c>
      <c r="G159" t="s">
        <v>14</v>
      </c>
      <c r="H159" t="s">
        <v>13</v>
      </c>
      <c r="I159" t="s">
        <v>14</v>
      </c>
      <c r="J159" t="s">
        <v>13</v>
      </c>
      <c r="K159">
        <v>2</v>
      </c>
      <c r="L159" t="s">
        <v>14</v>
      </c>
      <c r="M159" t="s">
        <v>16</v>
      </c>
    </row>
    <row r="160" spans="1:13">
      <c r="A160">
        <v>3550000</v>
      </c>
      <c r="B160">
        <v>3050</v>
      </c>
      <c r="C160">
        <v>2</v>
      </c>
      <c r="D160">
        <v>1</v>
      </c>
      <c r="E160">
        <v>1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>
        <v>1</v>
      </c>
      <c r="L160" t="s">
        <v>14</v>
      </c>
      <c r="M160" t="s">
        <v>17</v>
      </c>
    </row>
    <row r="161" spans="1:13">
      <c r="A161">
        <v>8450000</v>
      </c>
      <c r="B161">
        <v>7750</v>
      </c>
      <c r="C161">
        <v>5</v>
      </c>
      <c r="D161">
        <v>4</v>
      </c>
      <c r="E161">
        <v>3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3</v>
      </c>
      <c r="L161" t="s">
        <v>13</v>
      </c>
      <c r="M161" t="s">
        <v>15</v>
      </c>
    </row>
    <row r="162" spans="1:13">
      <c r="A162">
        <v>29000000</v>
      </c>
      <c r="B162">
        <v>10100</v>
      </c>
      <c r="C162">
        <v>6</v>
      </c>
      <c r="D162">
        <v>5</v>
      </c>
      <c r="E162">
        <v>4</v>
      </c>
      <c r="F162" t="s">
        <v>13</v>
      </c>
      <c r="G162" t="s">
        <v>13</v>
      </c>
      <c r="H162" t="s">
        <v>13</v>
      </c>
      <c r="I162" t="s">
        <v>13</v>
      </c>
      <c r="J162" t="s">
        <v>13</v>
      </c>
      <c r="K162">
        <v>4</v>
      </c>
      <c r="L162" t="s">
        <v>13</v>
      </c>
      <c r="M162" t="s">
        <v>15</v>
      </c>
    </row>
    <row r="163" spans="1:13">
      <c r="A163">
        <v>41000000</v>
      </c>
      <c r="B163">
        <v>13200</v>
      </c>
      <c r="C163">
        <v>7</v>
      </c>
      <c r="D163">
        <v>6</v>
      </c>
      <c r="E163">
        <v>5</v>
      </c>
      <c r="F163" t="s">
        <v>13</v>
      </c>
      <c r="G163" t="s">
        <v>13</v>
      </c>
      <c r="H163" t="s">
        <v>13</v>
      </c>
      <c r="I163" t="s">
        <v>13</v>
      </c>
      <c r="J163" t="s">
        <v>13</v>
      </c>
      <c r="K163">
        <v>5</v>
      </c>
      <c r="L163" t="s">
        <v>13</v>
      </c>
      <c r="M163" t="s">
        <v>15</v>
      </c>
    </row>
    <row r="164" spans="1:13">
      <c r="A164">
        <v>53000000</v>
      </c>
      <c r="B164">
        <v>17200</v>
      </c>
      <c r="C164">
        <v>8</v>
      </c>
      <c r="D164">
        <v>7</v>
      </c>
      <c r="E164">
        <v>6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  <c r="K164">
        <v>6</v>
      </c>
      <c r="L164" t="s">
        <v>13</v>
      </c>
      <c r="M164" t="s">
        <v>15</v>
      </c>
    </row>
    <row r="165" spans="1:13">
      <c r="A165">
        <v>68000000</v>
      </c>
      <c r="B165">
        <v>22500</v>
      </c>
      <c r="C165">
        <v>9</v>
      </c>
      <c r="D165">
        <v>8</v>
      </c>
      <c r="E165">
        <v>7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  <c r="K165">
        <v>8</v>
      </c>
      <c r="L165" t="s">
        <v>13</v>
      </c>
      <c r="M165" t="s">
        <v>15</v>
      </c>
    </row>
    <row r="166" spans="1:13">
      <c r="A166">
        <v>82000000</v>
      </c>
      <c r="B166">
        <v>28000</v>
      </c>
      <c r="C166">
        <v>10</v>
      </c>
      <c r="D166">
        <v>9</v>
      </c>
      <c r="E166">
        <v>9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  <c r="K166">
        <v>10</v>
      </c>
      <c r="L166" t="s">
        <v>13</v>
      </c>
      <c r="M166" t="s">
        <v>15</v>
      </c>
    </row>
    <row r="167" spans="1:13">
      <c r="A167">
        <v>5050000</v>
      </c>
      <c r="B167">
        <v>4650</v>
      </c>
      <c r="C167">
        <v>3</v>
      </c>
      <c r="D167">
        <v>2</v>
      </c>
      <c r="E167">
        <v>2</v>
      </c>
      <c r="F167" t="s">
        <v>13</v>
      </c>
      <c r="G167" t="s">
        <v>14</v>
      </c>
      <c r="H167" t="s">
        <v>14</v>
      </c>
      <c r="I167" t="s">
        <v>14</v>
      </c>
      <c r="J167" t="s">
        <v>13</v>
      </c>
      <c r="K167">
        <v>2</v>
      </c>
      <c r="L167" t="s">
        <v>14</v>
      </c>
      <c r="M167" t="s">
        <v>16</v>
      </c>
    </row>
    <row r="168" spans="1:13">
      <c r="A168">
        <v>6150000</v>
      </c>
      <c r="B168">
        <v>5750</v>
      </c>
      <c r="C168">
        <v>4</v>
      </c>
      <c r="D168">
        <v>3</v>
      </c>
      <c r="E168">
        <v>2</v>
      </c>
      <c r="F168" t="s">
        <v>13</v>
      </c>
      <c r="G168" t="s">
        <v>13</v>
      </c>
      <c r="H168" t="s">
        <v>14</v>
      </c>
      <c r="I168" t="s">
        <v>14</v>
      </c>
      <c r="J168" t="s">
        <v>13</v>
      </c>
      <c r="K168">
        <v>2</v>
      </c>
      <c r="L168" t="s">
        <v>13</v>
      </c>
      <c r="M168" t="s">
        <v>15</v>
      </c>
    </row>
    <row r="169" spans="1:13">
      <c r="A169">
        <v>4550000</v>
      </c>
      <c r="B169">
        <v>4200</v>
      </c>
      <c r="C169">
        <v>3</v>
      </c>
      <c r="D169">
        <v>2</v>
      </c>
      <c r="E169">
        <v>2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>
        <v>2</v>
      </c>
      <c r="L169" t="s">
        <v>14</v>
      </c>
      <c r="M169" t="s">
        <v>17</v>
      </c>
    </row>
    <row r="170" spans="1:13">
      <c r="A170">
        <v>7750000</v>
      </c>
      <c r="B170">
        <v>7050</v>
      </c>
      <c r="C170">
        <v>5</v>
      </c>
      <c r="D170">
        <v>3</v>
      </c>
      <c r="E170">
        <v>3</v>
      </c>
      <c r="F170" t="s">
        <v>13</v>
      </c>
      <c r="G170" t="s">
        <v>13</v>
      </c>
      <c r="H170" t="s">
        <v>13</v>
      </c>
      <c r="I170" t="s">
        <v>14</v>
      </c>
      <c r="J170" t="s">
        <v>13</v>
      </c>
      <c r="K170">
        <v>3</v>
      </c>
      <c r="L170" t="s">
        <v>13</v>
      </c>
      <c r="M170" t="s">
        <v>15</v>
      </c>
    </row>
    <row r="171" spans="1:13">
      <c r="A171">
        <v>5450000</v>
      </c>
      <c r="B171">
        <v>5100</v>
      </c>
      <c r="C171">
        <v>4</v>
      </c>
      <c r="D171">
        <v>2</v>
      </c>
      <c r="E171">
        <v>2</v>
      </c>
      <c r="F171" t="s">
        <v>13</v>
      </c>
      <c r="G171" t="s">
        <v>14</v>
      </c>
      <c r="H171" t="s">
        <v>13</v>
      </c>
      <c r="I171" t="s">
        <v>14</v>
      </c>
      <c r="J171" t="s">
        <v>13</v>
      </c>
      <c r="K171">
        <v>2</v>
      </c>
      <c r="L171" t="s">
        <v>14</v>
      </c>
      <c r="M171" t="s">
        <v>16</v>
      </c>
    </row>
    <row r="172" spans="1:13">
      <c r="A172">
        <v>5150000</v>
      </c>
      <c r="B172">
        <v>4750</v>
      </c>
      <c r="C172">
        <v>3</v>
      </c>
      <c r="D172">
        <v>2</v>
      </c>
      <c r="E172">
        <v>2</v>
      </c>
      <c r="F172" t="s">
        <v>13</v>
      </c>
      <c r="G172" t="s">
        <v>14</v>
      </c>
      <c r="H172" t="s">
        <v>14</v>
      </c>
      <c r="I172" t="s">
        <v>14</v>
      </c>
      <c r="J172" t="s">
        <v>13</v>
      </c>
      <c r="K172">
        <v>2</v>
      </c>
      <c r="L172" t="s">
        <v>14</v>
      </c>
      <c r="M172" t="s">
        <v>16</v>
      </c>
    </row>
    <row r="173" spans="1:13">
      <c r="A173">
        <v>6050000</v>
      </c>
      <c r="B173">
        <v>5650</v>
      </c>
      <c r="C173">
        <v>4</v>
      </c>
      <c r="D173">
        <v>3</v>
      </c>
      <c r="E173">
        <v>2</v>
      </c>
      <c r="F173" t="s">
        <v>13</v>
      </c>
      <c r="G173" t="s">
        <v>13</v>
      </c>
      <c r="H173" t="s">
        <v>14</v>
      </c>
      <c r="I173" t="s">
        <v>14</v>
      </c>
      <c r="J173" t="s">
        <v>13</v>
      </c>
      <c r="K173">
        <v>2</v>
      </c>
      <c r="L173" t="s">
        <v>13</v>
      </c>
      <c r="M173" t="s">
        <v>15</v>
      </c>
    </row>
    <row r="174" spans="1:13">
      <c r="A174">
        <v>3850000</v>
      </c>
      <c r="B174">
        <v>3350</v>
      </c>
      <c r="C174">
        <v>2</v>
      </c>
      <c r="D174">
        <v>1</v>
      </c>
      <c r="E174">
        <v>1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>
        <v>1</v>
      </c>
      <c r="L174" t="s">
        <v>14</v>
      </c>
      <c r="M174" t="s">
        <v>17</v>
      </c>
    </row>
    <row r="175" spans="1:13">
      <c r="A175">
        <v>7250000</v>
      </c>
      <c r="B175">
        <v>6600</v>
      </c>
      <c r="C175">
        <v>5</v>
      </c>
      <c r="D175">
        <v>3</v>
      </c>
      <c r="E175">
        <v>3</v>
      </c>
      <c r="F175" t="s">
        <v>13</v>
      </c>
      <c r="G175" t="s">
        <v>13</v>
      </c>
      <c r="H175" t="s">
        <v>13</v>
      </c>
      <c r="I175" t="s">
        <v>14</v>
      </c>
      <c r="J175" t="s">
        <v>13</v>
      </c>
      <c r="K175">
        <v>3</v>
      </c>
      <c r="L175" t="s">
        <v>13</v>
      </c>
      <c r="M175" t="s">
        <v>15</v>
      </c>
    </row>
    <row r="176" spans="1:13">
      <c r="A176">
        <v>4950000</v>
      </c>
      <c r="B176">
        <v>4550</v>
      </c>
      <c r="C176">
        <v>3</v>
      </c>
      <c r="D176">
        <v>2</v>
      </c>
      <c r="E176">
        <v>2</v>
      </c>
      <c r="F176" t="s">
        <v>13</v>
      </c>
      <c r="G176" t="s">
        <v>14</v>
      </c>
      <c r="H176" t="s">
        <v>13</v>
      </c>
      <c r="I176" t="s">
        <v>14</v>
      </c>
      <c r="J176" t="s">
        <v>13</v>
      </c>
      <c r="K176">
        <v>2</v>
      </c>
      <c r="L176" t="s">
        <v>14</v>
      </c>
      <c r="M176" t="s">
        <v>16</v>
      </c>
    </row>
    <row r="177" spans="1:13">
      <c r="A177">
        <v>6750000</v>
      </c>
      <c r="B177">
        <v>6200</v>
      </c>
      <c r="C177">
        <v>4</v>
      </c>
      <c r="D177">
        <v>3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13</v>
      </c>
      <c r="K177">
        <v>2</v>
      </c>
      <c r="L177" t="s">
        <v>13</v>
      </c>
      <c r="M177" t="s">
        <v>15</v>
      </c>
    </row>
    <row r="178" spans="1:13">
      <c r="A178">
        <v>4550000</v>
      </c>
      <c r="B178">
        <v>4200</v>
      </c>
      <c r="C178">
        <v>3</v>
      </c>
      <c r="D178">
        <v>2</v>
      </c>
      <c r="E178">
        <v>1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>
        <v>2</v>
      </c>
      <c r="L178" t="s">
        <v>14</v>
      </c>
      <c r="M178" t="s">
        <v>17</v>
      </c>
    </row>
    <row r="179" spans="1:13">
      <c r="A179">
        <v>3650000</v>
      </c>
      <c r="B179">
        <v>3100</v>
      </c>
      <c r="C179">
        <v>2</v>
      </c>
      <c r="D179">
        <v>1</v>
      </c>
      <c r="E179">
        <v>1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>
        <v>1</v>
      </c>
      <c r="L179" t="s">
        <v>14</v>
      </c>
      <c r="M179" t="s">
        <v>17</v>
      </c>
    </row>
    <row r="180" spans="1:13">
      <c r="A180">
        <v>8350000</v>
      </c>
      <c r="B180">
        <v>7600</v>
      </c>
      <c r="C180">
        <v>5</v>
      </c>
      <c r="D180">
        <v>4</v>
      </c>
      <c r="E180">
        <v>3</v>
      </c>
      <c r="F180" t="s">
        <v>13</v>
      </c>
      <c r="G180" t="s">
        <v>13</v>
      </c>
      <c r="H180" t="s">
        <v>13</v>
      </c>
      <c r="I180" t="s">
        <v>14</v>
      </c>
      <c r="J180" t="s">
        <v>13</v>
      </c>
      <c r="K180">
        <v>3</v>
      </c>
      <c r="L180" t="s">
        <v>13</v>
      </c>
      <c r="M180" t="s">
        <v>15</v>
      </c>
    </row>
    <row r="181" spans="1:13">
      <c r="A181">
        <v>5450000</v>
      </c>
      <c r="B181">
        <v>5100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13</v>
      </c>
      <c r="K181">
        <v>2</v>
      </c>
      <c r="L181" t="s">
        <v>14</v>
      </c>
      <c r="M181" t="s">
        <v>16</v>
      </c>
    </row>
    <row r="182" spans="1:13">
      <c r="A182">
        <v>4350000</v>
      </c>
      <c r="B182">
        <v>4000</v>
      </c>
      <c r="C182">
        <v>3</v>
      </c>
      <c r="D182">
        <v>2</v>
      </c>
      <c r="E182">
        <v>1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>
        <v>1</v>
      </c>
      <c r="L182" t="s">
        <v>14</v>
      </c>
      <c r="M182" t="s">
        <v>17</v>
      </c>
    </row>
    <row r="183" spans="1:13">
      <c r="A183">
        <v>6350000</v>
      </c>
      <c r="B183">
        <v>5900</v>
      </c>
      <c r="C183">
        <v>4</v>
      </c>
      <c r="D183">
        <v>3</v>
      </c>
      <c r="E183">
        <v>2</v>
      </c>
      <c r="F183" t="s">
        <v>13</v>
      </c>
      <c r="G183" t="s">
        <v>13</v>
      </c>
      <c r="H183" t="s">
        <v>14</v>
      </c>
      <c r="I183" t="s">
        <v>14</v>
      </c>
      <c r="J183" t="s">
        <v>13</v>
      </c>
      <c r="K183">
        <v>2</v>
      </c>
      <c r="L183" t="s">
        <v>13</v>
      </c>
      <c r="M183" t="s">
        <v>15</v>
      </c>
    </row>
    <row r="184" spans="1:13">
      <c r="A184">
        <v>5650000</v>
      </c>
      <c r="B184">
        <v>5300</v>
      </c>
      <c r="C184">
        <v>4</v>
      </c>
      <c r="D184">
        <v>2</v>
      </c>
      <c r="E184">
        <v>2</v>
      </c>
      <c r="F184" t="s">
        <v>13</v>
      </c>
      <c r="G184" t="s">
        <v>14</v>
      </c>
      <c r="H184" t="s">
        <v>13</v>
      </c>
      <c r="I184" t="s">
        <v>14</v>
      </c>
      <c r="J184" t="s">
        <v>13</v>
      </c>
      <c r="K184">
        <v>2</v>
      </c>
      <c r="L184" t="s">
        <v>14</v>
      </c>
      <c r="M184" t="s">
        <v>16</v>
      </c>
    </row>
    <row r="185" spans="1:13">
      <c r="A185">
        <v>4750000</v>
      </c>
      <c r="B185">
        <v>4400</v>
      </c>
      <c r="C185">
        <v>3</v>
      </c>
      <c r="D185">
        <v>2</v>
      </c>
      <c r="E185">
        <v>2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2</v>
      </c>
      <c r="L185" t="s">
        <v>14</v>
      </c>
      <c r="M185" t="s">
        <v>16</v>
      </c>
    </row>
    <row r="186" spans="1:13">
      <c r="A186">
        <v>7550000</v>
      </c>
      <c r="B186">
        <v>6900</v>
      </c>
      <c r="C186">
        <v>5</v>
      </c>
      <c r="D186">
        <v>3</v>
      </c>
      <c r="E186">
        <v>3</v>
      </c>
      <c r="F186" t="s">
        <v>13</v>
      </c>
      <c r="G186" t="s">
        <v>13</v>
      </c>
      <c r="H186" t="s">
        <v>13</v>
      </c>
      <c r="I186" t="s">
        <v>14</v>
      </c>
      <c r="J186" t="s">
        <v>13</v>
      </c>
      <c r="K186">
        <v>3</v>
      </c>
      <c r="L186" t="s">
        <v>13</v>
      </c>
      <c r="M186" t="s">
        <v>15</v>
      </c>
    </row>
    <row r="187" spans="1:13">
      <c r="A187">
        <v>4150000</v>
      </c>
      <c r="B187">
        <v>3800</v>
      </c>
      <c r="C187">
        <v>3</v>
      </c>
      <c r="D187">
        <v>2</v>
      </c>
      <c r="E187">
        <v>1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>
        <v>1</v>
      </c>
      <c r="L187" t="s">
        <v>14</v>
      </c>
      <c r="M187" t="s">
        <v>17</v>
      </c>
    </row>
    <row r="188" spans="1:13">
      <c r="A188">
        <v>6950000</v>
      </c>
      <c r="B188">
        <v>6350</v>
      </c>
      <c r="C188">
        <v>4</v>
      </c>
      <c r="D188">
        <v>3</v>
      </c>
      <c r="E188">
        <v>2</v>
      </c>
      <c r="F188" t="s">
        <v>13</v>
      </c>
      <c r="G188" t="s">
        <v>13</v>
      </c>
      <c r="H188" t="s">
        <v>14</v>
      </c>
      <c r="I188" t="s">
        <v>14</v>
      </c>
      <c r="J188" t="s">
        <v>13</v>
      </c>
      <c r="K188">
        <v>2</v>
      </c>
      <c r="L188" t="s">
        <v>13</v>
      </c>
      <c r="M188" t="s">
        <v>15</v>
      </c>
    </row>
    <row r="189" spans="1:13">
      <c r="A189">
        <v>5850000</v>
      </c>
      <c r="B189">
        <v>5500</v>
      </c>
      <c r="C189">
        <v>4</v>
      </c>
      <c r="D189">
        <v>2</v>
      </c>
      <c r="E189">
        <v>2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2</v>
      </c>
      <c r="L189" t="s">
        <v>14</v>
      </c>
      <c r="M189" t="s">
        <v>16</v>
      </c>
    </row>
    <row r="190" spans="1:13">
      <c r="A190">
        <v>3550000</v>
      </c>
      <c r="B190">
        <v>3000</v>
      </c>
      <c r="C190">
        <v>2</v>
      </c>
      <c r="D190">
        <v>1</v>
      </c>
      <c r="E190">
        <v>1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>
        <v>1</v>
      </c>
      <c r="L190" t="s">
        <v>14</v>
      </c>
      <c r="M190" t="s">
        <v>17</v>
      </c>
    </row>
    <row r="191" spans="1:13">
      <c r="A191">
        <v>8650000</v>
      </c>
      <c r="B191">
        <v>8000</v>
      </c>
      <c r="C191">
        <v>5</v>
      </c>
      <c r="D191">
        <v>4</v>
      </c>
      <c r="E191">
        <v>3</v>
      </c>
      <c r="F191" t="s">
        <v>13</v>
      </c>
      <c r="G191" t="s">
        <v>13</v>
      </c>
      <c r="H191" t="s">
        <v>13</v>
      </c>
      <c r="I191" t="s">
        <v>14</v>
      </c>
      <c r="J191" t="s">
        <v>13</v>
      </c>
      <c r="K191">
        <v>3</v>
      </c>
      <c r="L191" t="s">
        <v>13</v>
      </c>
      <c r="M191" t="s">
        <v>15</v>
      </c>
    </row>
    <row r="192" spans="1:13">
      <c r="A192">
        <v>31500000</v>
      </c>
      <c r="B192">
        <v>10800</v>
      </c>
      <c r="C192">
        <v>6</v>
      </c>
      <c r="D192">
        <v>5</v>
      </c>
      <c r="E192">
        <v>4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K192">
        <v>4</v>
      </c>
      <c r="L192" t="s">
        <v>13</v>
      </c>
      <c r="M192" t="s">
        <v>15</v>
      </c>
    </row>
    <row r="193" spans="1:13">
      <c r="A193">
        <v>44500000</v>
      </c>
      <c r="B193">
        <v>13800</v>
      </c>
      <c r="C193">
        <v>7</v>
      </c>
      <c r="D193">
        <v>6</v>
      </c>
      <c r="E193">
        <v>5</v>
      </c>
      <c r="F193" t="s">
        <v>13</v>
      </c>
      <c r="G193" t="s">
        <v>13</v>
      </c>
      <c r="H193" t="s">
        <v>13</v>
      </c>
      <c r="I193" t="s">
        <v>13</v>
      </c>
      <c r="J193" t="s">
        <v>13</v>
      </c>
      <c r="K193">
        <v>5</v>
      </c>
      <c r="L193" t="s">
        <v>13</v>
      </c>
      <c r="M193" t="s">
        <v>15</v>
      </c>
    </row>
    <row r="194" spans="1:13">
      <c r="A194">
        <v>56500000</v>
      </c>
      <c r="B194">
        <v>18200</v>
      </c>
      <c r="C194">
        <v>8</v>
      </c>
      <c r="D194">
        <v>7</v>
      </c>
      <c r="E194">
        <v>6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K194">
        <v>7</v>
      </c>
      <c r="L194" t="s">
        <v>13</v>
      </c>
      <c r="M194" t="s">
        <v>15</v>
      </c>
    </row>
    <row r="195" spans="1:13">
      <c r="A195">
        <v>73500000</v>
      </c>
      <c r="B195">
        <v>24000</v>
      </c>
      <c r="C195">
        <v>9</v>
      </c>
      <c r="D195">
        <v>8</v>
      </c>
      <c r="E195">
        <v>8</v>
      </c>
      <c r="F195" t="s">
        <v>13</v>
      </c>
      <c r="G195" t="s">
        <v>13</v>
      </c>
      <c r="H195" t="s">
        <v>13</v>
      </c>
      <c r="I195" t="s">
        <v>13</v>
      </c>
      <c r="J195" t="s">
        <v>13</v>
      </c>
      <c r="K195">
        <v>9</v>
      </c>
      <c r="L195" t="s">
        <v>13</v>
      </c>
      <c r="M195" t="s">
        <v>15</v>
      </c>
    </row>
    <row r="196" spans="1:13">
      <c r="A196">
        <v>91000000</v>
      </c>
      <c r="B196">
        <v>31000</v>
      </c>
      <c r="C196">
        <v>11</v>
      </c>
      <c r="D196">
        <v>10</v>
      </c>
      <c r="E196">
        <v>10</v>
      </c>
      <c r="F196" t="s">
        <v>13</v>
      </c>
      <c r="G196" t="s">
        <v>13</v>
      </c>
      <c r="H196" t="s">
        <v>13</v>
      </c>
      <c r="I196" t="s">
        <v>13</v>
      </c>
      <c r="J196" t="s">
        <v>13</v>
      </c>
      <c r="K196">
        <v>12</v>
      </c>
      <c r="L196" t="s">
        <v>13</v>
      </c>
      <c r="M196" t="s">
        <v>15</v>
      </c>
    </row>
    <row r="197" spans="1:13">
      <c r="A197">
        <v>5250000</v>
      </c>
      <c r="B197">
        <v>4850</v>
      </c>
      <c r="C197">
        <v>3</v>
      </c>
      <c r="D197">
        <v>2</v>
      </c>
      <c r="E197">
        <v>2</v>
      </c>
      <c r="F197" t="s">
        <v>13</v>
      </c>
      <c r="G197" t="s">
        <v>14</v>
      </c>
      <c r="H197" t="s">
        <v>14</v>
      </c>
      <c r="I197" t="s">
        <v>14</v>
      </c>
      <c r="J197" t="s">
        <v>13</v>
      </c>
      <c r="K197">
        <v>2</v>
      </c>
      <c r="L197" t="s">
        <v>14</v>
      </c>
      <c r="M197" t="s">
        <v>16</v>
      </c>
    </row>
    <row r="198" spans="1:13">
      <c r="A198">
        <v>6150000</v>
      </c>
      <c r="B198">
        <v>5750</v>
      </c>
      <c r="C198">
        <v>4</v>
      </c>
      <c r="D198">
        <v>3</v>
      </c>
      <c r="E198">
        <v>2</v>
      </c>
      <c r="F198" t="s">
        <v>13</v>
      </c>
      <c r="G198" t="s">
        <v>13</v>
      </c>
      <c r="H198" t="s">
        <v>14</v>
      </c>
      <c r="I198" t="s">
        <v>14</v>
      </c>
      <c r="J198" t="s">
        <v>13</v>
      </c>
      <c r="K198">
        <v>2</v>
      </c>
      <c r="L198" t="s">
        <v>13</v>
      </c>
      <c r="M198" t="s">
        <v>15</v>
      </c>
    </row>
    <row r="199" spans="1:13">
      <c r="A199">
        <v>4450000</v>
      </c>
      <c r="B199">
        <v>4100</v>
      </c>
      <c r="C199">
        <v>3</v>
      </c>
      <c r="D199">
        <v>2</v>
      </c>
      <c r="E199">
        <v>1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>
        <v>2</v>
      </c>
      <c r="L199" t="s">
        <v>14</v>
      </c>
      <c r="M199" t="s">
        <v>17</v>
      </c>
    </row>
    <row r="200" spans="1:13">
      <c r="A200">
        <v>7850000</v>
      </c>
      <c r="B200">
        <v>7200</v>
      </c>
      <c r="C200">
        <v>5</v>
      </c>
      <c r="D200">
        <v>3</v>
      </c>
      <c r="E200">
        <v>3</v>
      </c>
      <c r="F200" t="s">
        <v>13</v>
      </c>
      <c r="G200" t="s">
        <v>13</v>
      </c>
      <c r="H200" t="s">
        <v>13</v>
      </c>
      <c r="I200" t="s">
        <v>14</v>
      </c>
      <c r="J200" t="s">
        <v>13</v>
      </c>
      <c r="K200">
        <v>3</v>
      </c>
      <c r="L200" t="s">
        <v>13</v>
      </c>
      <c r="M200" t="s">
        <v>15</v>
      </c>
    </row>
    <row r="201" spans="1:13">
      <c r="A201">
        <v>5550000</v>
      </c>
      <c r="B201">
        <v>5200</v>
      </c>
      <c r="C201">
        <v>4</v>
      </c>
      <c r="D201">
        <v>2</v>
      </c>
      <c r="E201">
        <v>2</v>
      </c>
      <c r="F201" t="s">
        <v>13</v>
      </c>
      <c r="G201" t="s">
        <v>14</v>
      </c>
      <c r="H201" t="s">
        <v>13</v>
      </c>
      <c r="I201" t="s">
        <v>14</v>
      </c>
      <c r="J201" t="s">
        <v>13</v>
      </c>
      <c r="K201">
        <v>2</v>
      </c>
      <c r="L201" t="s">
        <v>14</v>
      </c>
      <c r="M20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B736-617E-407C-9B69-4CBA0A9EED65}">
  <dimension ref="A1:N201"/>
  <sheetViews>
    <sheetView workbookViewId="0">
      <selection activeCell="Q2" sqref="Q2"/>
    </sheetView>
  </sheetViews>
  <sheetFormatPr defaultRowHeight="14.5"/>
  <cols>
    <col min="1" max="1" width="8.81640625" bestFit="1" customWidth="1"/>
    <col min="2" max="2" width="6.7265625" bestFit="1" customWidth="1"/>
    <col min="3" max="14" width="3.36328125" bestFit="1" customWidth="1"/>
    <col min="17" max="17" width="10.90625" customWidth="1"/>
    <col min="18" max="18" width="10.81640625" customWidth="1"/>
  </cols>
  <sheetData>
    <row r="1" spans="1:14" ht="119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18</v>
      </c>
    </row>
    <row r="2" spans="1:14">
      <c r="A2" s="11">
        <v>13300000</v>
      </c>
      <c r="B2" s="12">
        <v>7420</v>
      </c>
      <c r="C2" s="12">
        <v>4</v>
      </c>
      <c r="D2" s="12">
        <v>2</v>
      </c>
      <c r="E2" s="12">
        <v>3</v>
      </c>
      <c r="F2" s="12">
        <v>1</v>
      </c>
      <c r="G2" s="12">
        <v>0</v>
      </c>
      <c r="H2" s="12">
        <v>0</v>
      </c>
      <c r="I2" s="12">
        <v>0</v>
      </c>
      <c r="J2" s="12">
        <v>1</v>
      </c>
      <c r="K2" s="12">
        <v>2</v>
      </c>
      <c r="L2" s="12">
        <v>1</v>
      </c>
      <c r="M2" s="12">
        <v>1</v>
      </c>
      <c r="N2" s="13">
        <v>0</v>
      </c>
    </row>
    <row r="3" spans="1:14">
      <c r="A3" s="11">
        <v>16800000</v>
      </c>
      <c r="B3" s="12">
        <v>8960</v>
      </c>
      <c r="C3" s="12">
        <v>4</v>
      </c>
      <c r="D3" s="12">
        <v>4</v>
      </c>
      <c r="E3" s="12">
        <v>4</v>
      </c>
      <c r="F3" s="12">
        <v>1</v>
      </c>
      <c r="G3" s="12">
        <v>0</v>
      </c>
      <c r="H3" s="12">
        <v>0</v>
      </c>
      <c r="I3" s="12">
        <v>0</v>
      </c>
      <c r="J3" s="12">
        <v>1</v>
      </c>
      <c r="K3" s="12">
        <v>3</v>
      </c>
      <c r="L3" s="12">
        <v>0</v>
      </c>
      <c r="M3" s="12">
        <v>1</v>
      </c>
      <c r="N3" s="13">
        <v>0</v>
      </c>
    </row>
    <row r="4" spans="1:14">
      <c r="A4" s="11">
        <v>14900000</v>
      </c>
      <c r="B4" s="12">
        <v>9960</v>
      </c>
      <c r="C4" s="12">
        <v>3</v>
      </c>
      <c r="D4" s="12">
        <v>2</v>
      </c>
      <c r="E4" s="12">
        <v>2</v>
      </c>
      <c r="F4" s="12">
        <v>1</v>
      </c>
      <c r="G4" s="12">
        <v>0</v>
      </c>
      <c r="H4" s="12">
        <v>1</v>
      </c>
      <c r="I4" s="12">
        <v>0</v>
      </c>
      <c r="J4" s="12">
        <v>0</v>
      </c>
      <c r="K4" s="12">
        <v>2</v>
      </c>
      <c r="L4" s="12">
        <v>1</v>
      </c>
      <c r="M4" s="12">
        <v>0</v>
      </c>
      <c r="N4" s="13">
        <v>1</v>
      </c>
    </row>
    <row r="5" spans="1:14">
      <c r="A5" s="11">
        <v>13650000</v>
      </c>
      <c r="B5" s="12">
        <v>7500</v>
      </c>
      <c r="C5" s="12">
        <v>4</v>
      </c>
      <c r="D5" s="12">
        <v>2</v>
      </c>
      <c r="E5" s="12">
        <v>2</v>
      </c>
      <c r="F5" s="12">
        <v>1</v>
      </c>
      <c r="G5" s="12">
        <v>0</v>
      </c>
      <c r="H5" s="12">
        <v>1</v>
      </c>
      <c r="I5" s="12">
        <v>0</v>
      </c>
      <c r="J5" s="12">
        <v>1</v>
      </c>
      <c r="K5" s="12">
        <v>3</v>
      </c>
      <c r="L5" s="12">
        <v>1</v>
      </c>
      <c r="M5" s="12">
        <v>1</v>
      </c>
      <c r="N5" s="13">
        <v>0</v>
      </c>
    </row>
    <row r="6" spans="1:14">
      <c r="A6" s="11">
        <v>12200000</v>
      </c>
      <c r="B6" s="12">
        <v>7420</v>
      </c>
      <c r="C6" s="12">
        <v>4</v>
      </c>
      <c r="D6" s="12">
        <v>1</v>
      </c>
      <c r="E6" s="12">
        <v>2</v>
      </c>
      <c r="F6" s="12">
        <v>1</v>
      </c>
      <c r="G6" s="12">
        <v>1</v>
      </c>
      <c r="H6" s="12">
        <v>1</v>
      </c>
      <c r="I6" s="12">
        <v>0</v>
      </c>
      <c r="J6" s="12">
        <v>1</v>
      </c>
      <c r="K6" s="12">
        <v>2</v>
      </c>
      <c r="L6" s="12">
        <v>0</v>
      </c>
      <c r="M6" s="12">
        <v>1</v>
      </c>
      <c r="N6" s="13">
        <v>0</v>
      </c>
    </row>
    <row r="7" spans="1:14">
      <c r="A7" s="11">
        <v>11200000</v>
      </c>
      <c r="B7" s="12">
        <v>6500</v>
      </c>
      <c r="C7" s="12">
        <v>3</v>
      </c>
      <c r="D7" s="12">
        <v>2</v>
      </c>
      <c r="E7" s="12">
        <v>2</v>
      </c>
      <c r="F7" s="12">
        <v>1</v>
      </c>
      <c r="G7" s="12">
        <v>0</v>
      </c>
      <c r="H7" s="12">
        <v>0</v>
      </c>
      <c r="I7" s="12">
        <v>0</v>
      </c>
      <c r="J7" s="12">
        <v>1</v>
      </c>
      <c r="K7" s="12">
        <v>2</v>
      </c>
      <c r="L7" s="12">
        <v>1</v>
      </c>
      <c r="M7" s="12">
        <v>0</v>
      </c>
      <c r="N7" s="13">
        <v>1</v>
      </c>
    </row>
    <row r="8" spans="1:14">
      <c r="A8" s="11">
        <v>8100000</v>
      </c>
      <c r="B8" s="12">
        <v>4800</v>
      </c>
      <c r="C8" s="12">
        <v>3</v>
      </c>
      <c r="D8" s="12">
        <v>2</v>
      </c>
      <c r="E8" s="12">
        <v>1</v>
      </c>
      <c r="F8" s="12">
        <v>1</v>
      </c>
      <c r="G8" s="12">
        <v>0</v>
      </c>
      <c r="H8" s="12">
        <v>1</v>
      </c>
      <c r="I8" s="12">
        <v>0</v>
      </c>
      <c r="J8" s="12">
        <v>0</v>
      </c>
      <c r="K8" s="12">
        <v>1</v>
      </c>
      <c r="L8" s="12">
        <v>0</v>
      </c>
      <c r="M8" s="12">
        <v>0</v>
      </c>
      <c r="N8" s="13">
        <v>0</v>
      </c>
    </row>
    <row r="9" spans="1:14">
      <c r="A9" s="11">
        <v>11950000</v>
      </c>
      <c r="B9" s="12">
        <v>5400</v>
      </c>
      <c r="C9" s="12">
        <v>4</v>
      </c>
      <c r="D9" s="12">
        <v>3</v>
      </c>
      <c r="E9" s="12">
        <v>2</v>
      </c>
      <c r="F9" s="12">
        <v>1</v>
      </c>
      <c r="G9" s="12">
        <v>1</v>
      </c>
      <c r="H9" s="12">
        <v>0</v>
      </c>
      <c r="I9" s="12">
        <v>0</v>
      </c>
      <c r="J9" s="12">
        <v>1</v>
      </c>
      <c r="K9" s="12">
        <v>2</v>
      </c>
      <c r="L9" s="12">
        <v>1</v>
      </c>
      <c r="M9" s="12">
        <v>1</v>
      </c>
      <c r="N9" s="13">
        <v>0</v>
      </c>
    </row>
    <row r="10" spans="1:14">
      <c r="A10" s="11">
        <v>5200000</v>
      </c>
      <c r="B10" s="12">
        <v>3200</v>
      </c>
      <c r="C10" s="12">
        <v>2</v>
      </c>
      <c r="D10" s="12">
        <v>1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3">
        <v>0</v>
      </c>
    </row>
    <row r="11" spans="1:14">
      <c r="A11" s="11">
        <v>7600000</v>
      </c>
      <c r="B11" s="12">
        <v>4100</v>
      </c>
      <c r="C11" s="12">
        <v>3</v>
      </c>
      <c r="D11" s="12">
        <v>1</v>
      </c>
      <c r="E11" s="12">
        <v>2</v>
      </c>
      <c r="F11" s="12">
        <v>1</v>
      </c>
      <c r="G11" s="12">
        <v>0</v>
      </c>
      <c r="H11" s="12">
        <v>1</v>
      </c>
      <c r="I11" s="12">
        <v>0</v>
      </c>
      <c r="J11" s="12">
        <v>0</v>
      </c>
      <c r="K11" s="12">
        <v>1</v>
      </c>
      <c r="L11" s="12">
        <v>0</v>
      </c>
      <c r="M11" s="12">
        <v>0</v>
      </c>
      <c r="N11" s="13">
        <v>1</v>
      </c>
    </row>
    <row r="12" spans="1:14">
      <c r="A12" s="11">
        <v>10800000</v>
      </c>
      <c r="B12" s="12">
        <v>5600</v>
      </c>
      <c r="C12" s="12">
        <v>3</v>
      </c>
      <c r="D12" s="12">
        <v>2</v>
      </c>
      <c r="E12" s="12">
        <v>2</v>
      </c>
      <c r="F12" s="12">
        <v>1</v>
      </c>
      <c r="G12" s="12">
        <v>0</v>
      </c>
      <c r="H12" s="12">
        <v>0</v>
      </c>
      <c r="I12" s="12">
        <v>0</v>
      </c>
      <c r="J12" s="12">
        <v>1</v>
      </c>
      <c r="K12" s="12">
        <v>2</v>
      </c>
      <c r="L12" s="12">
        <v>1</v>
      </c>
      <c r="M12" s="12">
        <v>1</v>
      </c>
      <c r="N12" s="13">
        <v>0</v>
      </c>
    </row>
    <row r="13" spans="1:14">
      <c r="A13" s="11">
        <v>13100000</v>
      </c>
      <c r="B13" s="12">
        <v>6200</v>
      </c>
      <c r="C13" s="12">
        <v>4</v>
      </c>
      <c r="D13" s="12">
        <v>3</v>
      </c>
      <c r="E13" s="12">
        <v>3</v>
      </c>
      <c r="F13" s="12">
        <v>1</v>
      </c>
      <c r="G13" s="12">
        <v>1</v>
      </c>
      <c r="H13" s="12">
        <v>1</v>
      </c>
      <c r="I13" s="12">
        <v>0</v>
      </c>
      <c r="J13" s="12">
        <v>1</v>
      </c>
      <c r="K13" s="12">
        <v>2</v>
      </c>
      <c r="L13" s="12">
        <v>1</v>
      </c>
      <c r="M13" s="12">
        <v>1</v>
      </c>
      <c r="N13" s="13">
        <v>0</v>
      </c>
    </row>
    <row r="14" spans="1:14">
      <c r="A14" s="11">
        <v>6100000</v>
      </c>
      <c r="B14" s="12">
        <v>3700</v>
      </c>
      <c r="C14" s="12">
        <v>2</v>
      </c>
      <c r="D14" s="12">
        <v>1</v>
      </c>
      <c r="E14" s="12">
        <v>1</v>
      </c>
      <c r="F14" s="12">
        <v>1</v>
      </c>
      <c r="G14" s="12">
        <v>0</v>
      </c>
      <c r="H14" s="12">
        <v>0</v>
      </c>
      <c r="I14" s="12">
        <v>0</v>
      </c>
      <c r="J14" s="12">
        <v>0</v>
      </c>
      <c r="K14" s="12">
        <v>1</v>
      </c>
      <c r="L14" s="12">
        <v>0</v>
      </c>
      <c r="M14" s="12">
        <v>0</v>
      </c>
      <c r="N14" s="13">
        <v>0</v>
      </c>
    </row>
    <row r="15" spans="1:14">
      <c r="A15" s="11">
        <v>8900000</v>
      </c>
      <c r="B15" s="12">
        <v>4550</v>
      </c>
      <c r="C15" s="12">
        <v>3</v>
      </c>
      <c r="D15" s="12">
        <v>2</v>
      </c>
      <c r="E15" s="12">
        <v>2</v>
      </c>
      <c r="F15" s="12">
        <v>0</v>
      </c>
      <c r="G15" s="12">
        <v>0</v>
      </c>
      <c r="H15" s="12">
        <v>1</v>
      </c>
      <c r="I15" s="12">
        <v>0</v>
      </c>
      <c r="J15" s="12">
        <v>1</v>
      </c>
      <c r="K15" s="12">
        <v>1</v>
      </c>
      <c r="L15" s="12">
        <v>0</v>
      </c>
      <c r="M15" s="12">
        <v>0</v>
      </c>
      <c r="N15" s="13">
        <v>1</v>
      </c>
    </row>
    <row r="16" spans="1:14">
      <c r="A16" s="11">
        <v>13800000</v>
      </c>
      <c r="B16" s="12">
        <v>7000</v>
      </c>
      <c r="C16" s="12">
        <v>4</v>
      </c>
      <c r="D16" s="12">
        <v>3</v>
      </c>
      <c r="E16" s="12">
        <v>2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3</v>
      </c>
      <c r="L16" s="12">
        <v>1</v>
      </c>
      <c r="M16" s="12">
        <v>1</v>
      </c>
      <c r="N16" s="13">
        <v>0</v>
      </c>
    </row>
    <row r="17" spans="1:14">
      <c r="A17" s="11">
        <v>4500000</v>
      </c>
      <c r="B17" s="12">
        <v>2850</v>
      </c>
      <c r="C17" s="12">
        <v>2</v>
      </c>
      <c r="D17" s="12">
        <v>1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>
        <v>0</v>
      </c>
    </row>
    <row r="18" spans="1:14">
      <c r="A18" s="11">
        <v>10100000</v>
      </c>
      <c r="B18" s="12">
        <v>5100</v>
      </c>
      <c r="C18" s="12">
        <v>3</v>
      </c>
      <c r="D18" s="12">
        <v>2</v>
      </c>
      <c r="E18" s="12">
        <v>2</v>
      </c>
      <c r="F18" s="12">
        <v>1</v>
      </c>
      <c r="G18" s="12">
        <v>0</v>
      </c>
      <c r="H18" s="12">
        <v>0</v>
      </c>
      <c r="I18" s="12">
        <v>0</v>
      </c>
      <c r="J18" s="12">
        <v>1</v>
      </c>
      <c r="K18" s="12">
        <v>2</v>
      </c>
      <c r="L18" s="12">
        <v>0</v>
      </c>
      <c r="M18" s="12">
        <v>0</v>
      </c>
      <c r="N18" s="13">
        <v>1</v>
      </c>
    </row>
    <row r="19" spans="1:14">
      <c r="A19" s="11">
        <v>14100000</v>
      </c>
      <c r="B19" s="12">
        <v>6800</v>
      </c>
      <c r="C19" s="12">
        <v>4</v>
      </c>
      <c r="D19" s="12">
        <v>2</v>
      </c>
      <c r="E19" s="12">
        <v>3</v>
      </c>
      <c r="F19" s="12">
        <v>1</v>
      </c>
      <c r="G19" s="12">
        <v>1</v>
      </c>
      <c r="H19" s="12">
        <v>1</v>
      </c>
      <c r="I19" s="12">
        <v>0</v>
      </c>
      <c r="J19" s="12">
        <v>1</v>
      </c>
      <c r="K19" s="12">
        <v>2</v>
      </c>
      <c r="L19" s="12">
        <v>1</v>
      </c>
      <c r="M19" s="12">
        <v>1</v>
      </c>
      <c r="N19" s="13">
        <v>0</v>
      </c>
    </row>
    <row r="20" spans="1:14">
      <c r="A20" s="11">
        <v>6500000</v>
      </c>
      <c r="B20" s="12">
        <v>3950</v>
      </c>
      <c r="C20" s="12">
        <v>2</v>
      </c>
      <c r="D20" s="12">
        <v>1</v>
      </c>
      <c r="E20" s="12">
        <v>1</v>
      </c>
      <c r="F20" s="12">
        <v>1</v>
      </c>
      <c r="G20" s="12">
        <v>0</v>
      </c>
      <c r="H20" s="12">
        <v>0</v>
      </c>
      <c r="I20" s="12">
        <v>0</v>
      </c>
      <c r="J20" s="12">
        <v>0</v>
      </c>
      <c r="K20" s="12">
        <v>1</v>
      </c>
      <c r="L20" s="12">
        <v>0</v>
      </c>
      <c r="M20" s="12">
        <v>0</v>
      </c>
      <c r="N20" s="13">
        <v>0</v>
      </c>
    </row>
    <row r="21" spans="1:14">
      <c r="A21" s="11">
        <v>11400000</v>
      </c>
      <c r="B21" s="12">
        <v>5900</v>
      </c>
      <c r="C21" s="12">
        <v>3</v>
      </c>
      <c r="D21" s="12">
        <v>2</v>
      </c>
      <c r="E21" s="12">
        <v>2</v>
      </c>
      <c r="F21" s="12">
        <v>1</v>
      </c>
      <c r="G21" s="12">
        <v>0</v>
      </c>
      <c r="H21" s="12">
        <v>1</v>
      </c>
      <c r="I21" s="12">
        <v>0</v>
      </c>
      <c r="J21" s="12">
        <v>1</v>
      </c>
      <c r="K21" s="12">
        <v>2</v>
      </c>
      <c r="L21" s="12">
        <v>1</v>
      </c>
      <c r="M21" s="12">
        <v>0</v>
      </c>
      <c r="N21" s="13">
        <v>1</v>
      </c>
    </row>
    <row r="22" spans="1:14">
      <c r="A22" s="11">
        <v>5200000</v>
      </c>
      <c r="B22" s="12">
        <v>4600</v>
      </c>
      <c r="C22" s="12">
        <v>3</v>
      </c>
      <c r="D22" s="12">
        <v>2</v>
      </c>
      <c r="E22" s="12">
        <v>2</v>
      </c>
      <c r="F22" s="12">
        <v>1</v>
      </c>
      <c r="G22" s="12">
        <v>0</v>
      </c>
      <c r="H22" s="12">
        <v>0</v>
      </c>
      <c r="I22" s="12">
        <v>0</v>
      </c>
      <c r="J22" s="12">
        <v>1</v>
      </c>
      <c r="K22" s="12">
        <v>2</v>
      </c>
      <c r="L22" s="12">
        <v>0</v>
      </c>
      <c r="M22" s="12">
        <v>0</v>
      </c>
      <c r="N22" s="13">
        <v>1</v>
      </c>
    </row>
    <row r="23" spans="1:14">
      <c r="A23" s="11">
        <v>6100000</v>
      </c>
      <c r="B23" s="12">
        <v>5800</v>
      </c>
      <c r="C23" s="12">
        <v>4</v>
      </c>
      <c r="D23" s="12">
        <v>3</v>
      </c>
      <c r="E23" s="12">
        <v>2</v>
      </c>
      <c r="F23" s="12">
        <v>1</v>
      </c>
      <c r="G23" s="12">
        <v>1</v>
      </c>
      <c r="H23" s="12">
        <v>0</v>
      </c>
      <c r="I23" s="12">
        <v>0</v>
      </c>
      <c r="J23" s="12">
        <v>1</v>
      </c>
      <c r="K23" s="12">
        <v>2</v>
      </c>
      <c r="L23" s="12">
        <v>1</v>
      </c>
      <c r="M23" s="12">
        <v>1</v>
      </c>
      <c r="N23" s="13">
        <v>0</v>
      </c>
    </row>
    <row r="24" spans="1:14">
      <c r="A24" s="11">
        <v>3950000</v>
      </c>
      <c r="B24" s="12">
        <v>3500</v>
      </c>
      <c r="C24" s="12">
        <v>2</v>
      </c>
      <c r="D24" s="12">
        <v>1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1</v>
      </c>
      <c r="L24" s="12">
        <v>0</v>
      </c>
      <c r="M24" s="12">
        <v>0</v>
      </c>
      <c r="N24" s="13">
        <v>0</v>
      </c>
    </row>
    <row r="25" spans="1:14">
      <c r="A25" s="11">
        <v>7200000</v>
      </c>
      <c r="B25" s="12">
        <v>6400</v>
      </c>
      <c r="C25" s="12">
        <v>4</v>
      </c>
      <c r="D25" s="12">
        <v>3</v>
      </c>
      <c r="E25" s="12">
        <v>3</v>
      </c>
      <c r="F25" s="12">
        <v>1</v>
      </c>
      <c r="G25" s="12">
        <v>1</v>
      </c>
      <c r="H25" s="12">
        <v>1</v>
      </c>
      <c r="I25" s="12">
        <v>0</v>
      </c>
      <c r="J25" s="12">
        <v>1</v>
      </c>
      <c r="K25" s="12">
        <v>2</v>
      </c>
      <c r="L25" s="12">
        <v>1</v>
      </c>
      <c r="M25" s="12">
        <v>1</v>
      </c>
      <c r="N25" s="13">
        <v>0</v>
      </c>
    </row>
    <row r="26" spans="1:14">
      <c r="A26" s="11">
        <v>4550000</v>
      </c>
      <c r="B26" s="12">
        <v>4100</v>
      </c>
      <c r="C26" s="12">
        <v>3</v>
      </c>
      <c r="D26" s="12">
        <v>2</v>
      </c>
      <c r="E26" s="12">
        <v>1</v>
      </c>
      <c r="F26" s="12">
        <v>1</v>
      </c>
      <c r="G26" s="12">
        <v>0</v>
      </c>
      <c r="H26" s="12">
        <v>0</v>
      </c>
      <c r="I26" s="12">
        <v>0</v>
      </c>
      <c r="J26" s="12">
        <v>0</v>
      </c>
      <c r="K26" s="12">
        <v>2</v>
      </c>
      <c r="L26" s="12">
        <v>0</v>
      </c>
      <c r="M26" s="12">
        <v>0</v>
      </c>
      <c r="N26" s="13">
        <v>1</v>
      </c>
    </row>
    <row r="27" spans="1:14">
      <c r="A27" s="11">
        <v>6850000</v>
      </c>
      <c r="B27" s="12">
        <v>6000</v>
      </c>
      <c r="C27" s="12">
        <v>4</v>
      </c>
      <c r="D27" s="12">
        <v>2</v>
      </c>
      <c r="E27" s="12">
        <v>2</v>
      </c>
      <c r="F27" s="12">
        <v>1</v>
      </c>
      <c r="G27" s="12">
        <v>1</v>
      </c>
      <c r="H27" s="12">
        <v>0</v>
      </c>
      <c r="I27" s="12">
        <v>0</v>
      </c>
      <c r="J27" s="12">
        <v>1</v>
      </c>
      <c r="K27" s="12">
        <v>2</v>
      </c>
      <c r="L27" s="12">
        <v>1</v>
      </c>
      <c r="M27" s="12">
        <v>1</v>
      </c>
      <c r="N27" s="13">
        <v>0</v>
      </c>
    </row>
    <row r="28" spans="1:14">
      <c r="A28" s="11">
        <v>5400000</v>
      </c>
      <c r="B28" s="12">
        <v>5000</v>
      </c>
      <c r="C28" s="12">
        <v>3</v>
      </c>
      <c r="D28" s="12">
        <v>2</v>
      </c>
      <c r="E28" s="12">
        <v>2</v>
      </c>
      <c r="F28" s="12">
        <v>1</v>
      </c>
      <c r="G28" s="12">
        <v>0</v>
      </c>
      <c r="H28" s="12">
        <v>1</v>
      </c>
      <c r="I28" s="12">
        <v>0</v>
      </c>
      <c r="J28" s="12">
        <v>1</v>
      </c>
      <c r="K28" s="12">
        <v>2</v>
      </c>
      <c r="L28" s="12">
        <v>0</v>
      </c>
      <c r="M28" s="12">
        <v>0</v>
      </c>
      <c r="N28" s="13">
        <v>1</v>
      </c>
    </row>
    <row r="29" spans="1:14">
      <c r="A29" s="11">
        <v>3350000</v>
      </c>
      <c r="B29" s="12">
        <v>3000</v>
      </c>
      <c r="C29" s="12">
        <v>2</v>
      </c>
      <c r="D29" s="12">
        <v>1</v>
      </c>
      <c r="E29" s="12">
        <v>1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1</v>
      </c>
      <c r="L29" s="12">
        <v>0</v>
      </c>
      <c r="M29" s="12">
        <v>0</v>
      </c>
      <c r="N29" s="13">
        <v>0</v>
      </c>
    </row>
    <row r="30" spans="1:14">
      <c r="A30" s="11">
        <v>8100000</v>
      </c>
      <c r="B30" s="12">
        <v>7200</v>
      </c>
      <c r="C30" s="12">
        <v>5</v>
      </c>
      <c r="D30" s="12">
        <v>3</v>
      </c>
      <c r="E30" s="12">
        <v>3</v>
      </c>
      <c r="F30" s="12">
        <v>1</v>
      </c>
      <c r="G30" s="12">
        <v>1</v>
      </c>
      <c r="H30" s="12">
        <v>1</v>
      </c>
      <c r="I30" s="12">
        <v>0</v>
      </c>
      <c r="J30" s="12">
        <v>1</v>
      </c>
      <c r="K30" s="12">
        <v>3</v>
      </c>
      <c r="L30" s="12">
        <v>1</v>
      </c>
      <c r="M30" s="12">
        <v>1</v>
      </c>
      <c r="N30" s="13">
        <v>0</v>
      </c>
    </row>
    <row r="31" spans="1:14">
      <c r="A31" s="11">
        <v>4900000</v>
      </c>
      <c r="B31" s="12">
        <v>4300</v>
      </c>
      <c r="C31" s="12">
        <v>3</v>
      </c>
      <c r="D31" s="12">
        <v>2</v>
      </c>
      <c r="E31" s="12">
        <v>2</v>
      </c>
      <c r="F31" s="12">
        <v>1</v>
      </c>
      <c r="G31" s="12">
        <v>0</v>
      </c>
      <c r="H31" s="12">
        <v>0</v>
      </c>
      <c r="I31" s="12">
        <v>0</v>
      </c>
      <c r="J31" s="12">
        <v>1</v>
      </c>
      <c r="K31" s="12">
        <v>2</v>
      </c>
      <c r="L31" s="12">
        <v>0</v>
      </c>
      <c r="M31" s="12">
        <v>0</v>
      </c>
      <c r="N31" s="13">
        <v>1</v>
      </c>
    </row>
    <row r="32" spans="1:14">
      <c r="A32" s="11">
        <v>3750000</v>
      </c>
      <c r="B32" s="12">
        <v>3400</v>
      </c>
      <c r="C32" s="12">
        <v>2</v>
      </c>
      <c r="D32" s="12">
        <v>1</v>
      </c>
      <c r="E32" s="12">
        <v>1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1</v>
      </c>
      <c r="L32" s="12">
        <v>0</v>
      </c>
      <c r="M32" s="12">
        <v>0</v>
      </c>
      <c r="N32" s="13">
        <v>0</v>
      </c>
    </row>
    <row r="33" spans="1:14">
      <c r="A33" s="11">
        <v>6400000</v>
      </c>
      <c r="B33" s="12">
        <v>5700</v>
      </c>
      <c r="C33" s="12">
        <v>4</v>
      </c>
      <c r="D33" s="12">
        <v>2</v>
      </c>
      <c r="E33" s="12">
        <v>2</v>
      </c>
      <c r="F33" s="12">
        <v>1</v>
      </c>
      <c r="G33" s="12">
        <v>1</v>
      </c>
      <c r="H33" s="12">
        <v>0</v>
      </c>
      <c r="I33" s="12">
        <v>0</v>
      </c>
      <c r="J33" s="12">
        <v>1</v>
      </c>
      <c r="K33" s="12">
        <v>2</v>
      </c>
      <c r="L33" s="12">
        <v>1</v>
      </c>
      <c r="M33" s="12">
        <v>1</v>
      </c>
      <c r="N33" s="13">
        <v>0</v>
      </c>
    </row>
    <row r="34" spans="1:14">
      <c r="A34" s="11">
        <v>5650000</v>
      </c>
      <c r="B34" s="12">
        <v>5200</v>
      </c>
      <c r="C34" s="12">
        <v>3</v>
      </c>
      <c r="D34" s="12">
        <v>2</v>
      </c>
      <c r="E34" s="12">
        <v>2</v>
      </c>
      <c r="F34" s="12">
        <v>1</v>
      </c>
      <c r="G34" s="12">
        <v>0</v>
      </c>
      <c r="H34" s="12">
        <v>1</v>
      </c>
      <c r="I34" s="12">
        <v>0</v>
      </c>
      <c r="J34" s="12">
        <v>1</v>
      </c>
      <c r="K34" s="12">
        <v>2</v>
      </c>
      <c r="L34" s="12">
        <v>0</v>
      </c>
      <c r="M34" s="12">
        <v>0</v>
      </c>
      <c r="N34" s="13">
        <v>1</v>
      </c>
    </row>
    <row r="35" spans="1:14">
      <c r="A35" s="11">
        <v>4700000</v>
      </c>
      <c r="B35" s="12">
        <v>4400</v>
      </c>
      <c r="C35" s="12">
        <v>3</v>
      </c>
      <c r="D35" s="12">
        <v>2</v>
      </c>
      <c r="E35" s="12">
        <v>1</v>
      </c>
      <c r="F35" s="12">
        <v>1</v>
      </c>
      <c r="G35" s="12">
        <v>0</v>
      </c>
      <c r="H35" s="12">
        <v>0</v>
      </c>
      <c r="I35" s="12">
        <v>0</v>
      </c>
      <c r="J35" s="12">
        <v>0</v>
      </c>
      <c r="K35" s="12">
        <v>2</v>
      </c>
      <c r="L35" s="12">
        <v>0</v>
      </c>
      <c r="M35" s="12">
        <v>0</v>
      </c>
      <c r="N35" s="13">
        <v>1</v>
      </c>
    </row>
    <row r="36" spans="1:14">
      <c r="A36" s="11">
        <v>7600000</v>
      </c>
      <c r="B36" s="12">
        <v>6800</v>
      </c>
      <c r="C36" s="12">
        <v>5</v>
      </c>
      <c r="D36" s="12">
        <v>3</v>
      </c>
      <c r="E36" s="12">
        <v>3</v>
      </c>
      <c r="F36" s="12">
        <v>1</v>
      </c>
      <c r="G36" s="12">
        <v>1</v>
      </c>
      <c r="H36" s="12">
        <v>1</v>
      </c>
      <c r="I36" s="12">
        <v>0</v>
      </c>
      <c r="J36" s="12">
        <v>1</v>
      </c>
      <c r="K36" s="12">
        <v>3</v>
      </c>
      <c r="L36" s="12">
        <v>1</v>
      </c>
      <c r="M36" s="12">
        <v>1</v>
      </c>
      <c r="N36" s="13">
        <v>0</v>
      </c>
    </row>
    <row r="37" spans="1:14">
      <c r="A37" s="11">
        <v>4200000</v>
      </c>
      <c r="B37" s="12">
        <v>3900</v>
      </c>
      <c r="C37" s="12">
        <v>3</v>
      </c>
      <c r="D37" s="12">
        <v>2</v>
      </c>
      <c r="E37" s="12">
        <v>1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1</v>
      </c>
      <c r="L37" s="12">
        <v>0</v>
      </c>
      <c r="M37" s="12">
        <v>0</v>
      </c>
      <c r="N37" s="13">
        <v>0</v>
      </c>
    </row>
    <row r="38" spans="1:14">
      <c r="A38" s="11">
        <v>6950000</v>
      </c>
      <c r="B38" s="12">
        <v>6100</v>
      </c>
      <c r="C38" s="12">
        <v>4</v>
      </c>
      <c r="D38" s="12">
        <v>3</v>
      </c>
      <c r="E38" s="12">
        <v>2</v>
      </c>
      <c r="F38" s="12">
        <v>1</v>
      </c>
      <c r="G38" s="12">
        <v>1</v>
      </c>
      <c r="H38" s="12">
        <v>0</v>
      </c>
      <c r="I38" s="12">
        <v>0</v>
      </c>
      <c r="J38" s="12">
        <v>1</v>
      </c>
      <c r="K38" s="12">
        <v>2</v>
      </c>
      <c r="L38" s="12">
        <v>1</v>
      </c>
      <c r="M38" s="12">
        <v>1</v>
      </c>
      <c r="N38" s="13">
        <v>0</v>
      </c>
    </row>
    <row r="39" spans="1:14">
      <c r="A39" s="11">
        <v>5150000</v>
      </c>
      <c r="B39" s="12">
        <v>4800</v>
      </c>
      <c r="C39" s="12">
        <v>3</v>
      </c>
      <c r="D39" s="12">
        <v>2</v>
      </c>
      <c r="E39" s="12">
        <v>2</v>
      </c>
      <c r="F39" s="12">
        <v>1</v>
      </c>
      <c r="G39" s="12">
        <v>0</v>
      </c>
      <c r="H39" s="12">
        <v>1</v>
      </c>
      <c r="I39" s="12">
        <v>0</v>
      </c>
      <c r="J39" s="12">
        <v>1</v>
      </c>
      <c r="K39" s="12">
        <v>2</v>
      </c>
      <c r="L39" s="12">
        <v>0</v>
      </c>
      <c r="M39" s="12">
        <v>0</v>
      </c>
      <c r="N39" s="13">
        <v>1</v>
      </c>
    </row>
    <row r="40" spans="1:14">
      <c r="A40" s="11">
        <v>3600000</v>
      </c>
      <c r="B40" s="12">
        <v>3200</v>
      </c>
      <c r="C40" s="12">
        <v>2</v>
      </c>
      <c r="D40" s="12">
        <v>1</v>
      </c>
      <c r="E40" s="12">
        <v>1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1</v>
      </c>
      <c r="L40" s="12">
        <v>0</v>
      </c>
      <c r="M40" s="12">
        <v>0</v>
      </c>
      <c r="N40" s="13">
        <v>0</v>
      </c>
    </row>
    <row r="41" spans="1:14">
      <c r="A41" s="11">
        <v>8350000</v>
      </c>
      <c r="B41" s="12">
        <v>7400</v>
      </c>
      <c r="C41" s="12">
        <v>5</v>
      </c>
      <c r="D41" s="12">
        <v>3</v>
      </c>
      <c r="E41" s="12">
        <v>3</v>
      </c>
      <c r="F41" s="12">
        <v>1</v>
      </c>
      <c r="G41" s="12">
        <v>1</v>
      </c>
      <c r="H41" s="12">
        <v>1</v>
      </c>
      <c r="I41" s="12">
        <v>0</v>
      </c>
      <c r="J41" s="12">
        <v>1</v>
      </c>
      <c r="K41" s="12">
        <v>3</v>
      </c>
      <c r="L41" s="12">
        <v>1</v>
      </c>
      <c r="M41" s="12">
        <v>1</v>
      </c>
      <c r="N41" s="13">
        <v>0</v>
      </c>
    </row>
    <row r="42" spans="1:14">
      <c r="A42" s="11">
        <v>25000000</v>
      </c>
      <c r="B42" s="12">
        <v>9500</v>
      </c>
      <c r="C42" s="12">
        <v>6</v>
      </c>
      <c r="D42" s="12">
        <v>5</v>
      </c>
      <c r="E42" s="12">
        <v>4</v>
      </c>
      <c r="F42" s="12">
        <v>1</v>
      </c>
      <c r="G42" s="12">
        <v>1</v>
      </c>
      <c r="H42" s="12">
        <v>1</v>
      </c>
      <c r="I42" s="12">
        <v>1</v>
      </c>
      <c r="J42" s="12">
        <v>1</v>
      </c>
      <c r="K42" s="12">
        <v>4</v>
      </c>
      <c r="L42" s="12">
        <v>1</v>
      </c>
      <c r="M42" s="12">
        <v>1</v>
      </c>
      <c r="N42" s="13">
        <v>0</v>
      </c>
    </row>
    <row r="43" spans="1:14">
      <c r="A43" s="11">
        <v>31000000</v>
      </c>
      <c r="B43" s="12">
        <v>11000</v>
      </c>
      <c r="C43" s="12">
        <v>7</v>
      </c>
      <c r="D43" s="12">
        <v>6</v>
      </c>
      <c r="E43" s="12">
        <v>4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5</v>
      </c>
      <c r="L43" s="12">
        <v>1</v>
      </c>
      <c r="M43" s="12">
        <v>1</v>
      </c>
      <c r="N43" s="13">
        <v>0</v>
      </c>
    </row>
    <row r="44" spans="1:14">
      <c r="A44" s="11">
        <v>42000000</v>
      </c>
      <c r="B44" s="12">
        <v>13500</v>
      </c>
      <c r="C44" s="12">
        <v>8</v>
      </c>
      <c r="D44" s="12">
        <v>7</v>
      </c>
      <c r="E44" s="12">
        <v>5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6</v>
      </c>
      <c r="L44" s="12">
        <v>1</v>
      </c>
      <c r="M44" s="12">
        <v>1</v>
      </c>
      <c r="N44" s="13">
        <v>0</v>
      </c>
    </row>
    <row r="45" spans="1:14">
      <c r="A45" s="11">
        <v>27500000</v>
      </c>
      <c r="B45" s="12">
        <v>9800</v>
      </c>
      <c r="C45" s="12">
        <v>6</v>
      </c>
      <c r="D45" s="12">
        <v>5</v>
      </c>
      <c r="E45" s="12">
        <v>4</v>
      </c>
      <c r="F45" s="12">
        <v>1</v>
      </c>
      <c r="G45" s="12">
        <v>1</v>
      </c>
      <c r="H45" s="12">
        <v>1</v>
      </c>
      <c r="I45" s="12">
        <v>1</v>
      </c>
      <c r="J45" s="12">
        <v>1</v>
      </c>
      <c r="K45" s="12">
        <v>4</v>
      </c>
      <c r="L45" s="12">
        <v>1</v>
      </c>
      <c r="M45" s="12">
        <v>1</v>
      </c>
      <c r="N45" s="13">
        <v>0</v>
      </c>
    </row>
    <row r="46" spans="1:14">
      <c r="A46" s="11">
        <v>35500000</v>
      </c>
      <c r="B46" s="12">
        <v>12000</v>
      </c>
      <c r="C46" s="12">
        <v>7</v>
      </c>
      <c r="D46" s="12">
        <v>6</v>
      </c>
      <c r="E46" s="12">
        <v>5</v>
      </c>
      <c r="F46" s="12">
        <v>1</v>
      </c>
      <c r="G46" s="12">
        <v>1</v>
      </c>
      <c r="H46" s="12">
        <v>1</v>
      </c>
      <c r="I46" s="12">
        <v>1</v>
      </c>
      <c r="J46" s="12">
        <v>1</v>
      </c>
      <c r="K46" s="12">
        <v>5</v>
      </c>
      <c r="L46" s="12">
        <v>1</v>
      </c>
      <c r="M46" s="12">
        <v>1</v>
      </c>
      <c r="N46" s="13">
        <v>0</v>
      </c>
    </row>
    <row r="47" spans="1:14">
      <c r="A47" s="11">
        <v>4400000</v>
      </c>
      <c r="B47" s="12">
        <v>4050</v>
      </c>
      <c r="C47" s="12">
        <v>3</v>
      </c>
      <c r="D47" s="12">
        <v>2</v>
      </c>
      <c r="E47" s="12">
        <v>1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2</v>
      </c>
      <c r="L47" s="12">
        <v>0</v>
      </c>
      <c r="M47" s="12">
        <v>0</v>
      </c>
      <c r="N47" s="13">
        <v>1</v>
      </c>
    </row>
    <row r="48" spans="1:14">
      <c r="A48" s="11">
        <v>5850000</v>
      </c>
      <c r="B48" s="12">
        <v>5600</v>
      </c>
      <c r="C48" s="12">
        <v>4</v>
      </c>
      <c r="D48" s="12">
        <v>2</v>
      </c>
      <c r="E48" s="12">
        <v>2</v>
      </c>
      <c r="F48" s="12">
        <v>1</v>
      </c>
      <c r="G48" s="12">
        <v>1</v>
      </c>
      <c r="H48" s="12">
        <v>0</v>
      </c>
      <c r="I48" s="12">
        <v>0</v>
      </c>
      <c r="J48" s="12">
        <v>1</v>
      </c>
      <c r="K48" s="12">
        <v>2</v>
      </c>
      <c r="L48" s="12">
        <v>1</v>
      </c>
      <c r="M48" s="12">
        <v>1</v>
      </c>
      <c r="N48" s="13">
        <v>0</v>
      </c>
    </row>
    <row r="49" spans="1:14">
      <c r="A49" s="11">
        <v>5050000</v>
      </c>
      <c r="B49" s="12">
        <v>4700</v>
      </c>
      <c r="C49" s="12">
        <v>3</v>
      </c>
      <c r="D49" s="12">
        <v>2</v>
      </c>
      <c r="E49" s="12">
        <v>2</v>
      </c>
      <c r="F49" s="12">
        <v>1</v>
      </c>
      <c r="G49" s="12">
        <v>0</v>
      </c>
      <c r="H49" s="12">
        <v>1</v>
      </c>
      <c r="I49" s="12">
        <v>0</v>
      </c>
      <c r="J49" s="12">
        <v>1</v>
      </c>
      <c r="K49" s="12">
        <v>2</v>
      </c>
      <c r="L49" s="12">
        <v>0</v>
      </c>
      <c r="M49" s="12">
        <v>0</v>
      </c>
      <c r="N49" s="13">
        <v>1</v>
      </c>
    </row>
    <row r="50" spans="1:14">
      <c r="A50" s="11">
        <v>3900000</v>
      </c>
      <c r="B50" s="12">
        <v>3450</v>
      </c>
      <c r="C50" s="12">
        <v>2</v>
      </c>
      <c r="D50" s="12">
        <v>1</v>
      </c>
      <c r="E50" s="12">
        <v>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1</v>
      </c>
      <c r="L50" s="12">
        <v>0</v>
      </c>
      <c r="M50" s="12">
        <v>0</v>
      </c>
      <c r="N50" s="13">
        <v>0</v>
      </c>
    </row>
    <row r="51" spans="1:14">
      <c r="A51" s="11">
        <v>7300000</v>
      </c>
      <c r="B51" s="12">
        <v>6600</v>
      </c>
      <c r="C51" s="12">
        <v>5</v>
      </c>
      <c r="D51" s="12">
        <v>3</v>
      </c>
      <c r="E51" s="12">
        <v>3</v>
      </c>
      <c r="F51" s="12">
        <v>1</v>
      </c>
      <c r="G51" s="12">
        <v>1</v>
      </c>
      <c r="H51" s="12">
        <v>1</v>
      </c>
      <c r="I51" s="12">
        <v>0</v>
      </c>
      <c r="J51" s="12">
        <v>1</v>
      </c>
      <c r="K51" s="12">
        <v>3</v>
      </c>
      <c r="L51" s="12">
        <v>1</v>
      </c>
      <c r="M51" s="12">
        <v>1</v>
      </c>
      <c r="N51" s="13">
        <v>0</v>
      </c>
    </row>
    <row r="52" spans="1:14">
      <c r="A52" s="11">
        <v>4650000</v>
      </c>
      <c r="B52" s="12">
        <v>4350</v>
      </c>
      <c r="C52" s="12">
        <v>3</v>
      </c>
      <c r="D52" s="12">
        <v>2</v>
      </c>
      <c r="E52" s="12">
        <v>2</v>
      </c>
      <c r="F52" s="12">
        <v>1</v>
      </c>
      <c r="G52" s="12">
        <v>0</v>
      </c>
      <c r="H52" s="12">
        <v>0</v>
      </c>
      <c r="I52" s="12">
        <v>0</v>
      </c>
      <c r="J52" s="12">
        <v>1</v>
      </c>
      <c r="K52" s="12">
        <v>2</v>
      </c>
      <c r="L52" s="12">
        <v>0</v>
      </c>
      <c r="M52" s="12">
        <v>0</v>
      </c>
      <c r="N52" s="13">
        <v>1</v>
      </c>
    </row>
    <row r="53" spans="1:14">
      <c r="A53" s="11">
        <v>5450000</v>
      </c>
      <c r="B53" s="12">
        <v>5100</v>
      </c>
      <c r="C53" s="12">
        <v>3</v>
      </c>
      <c r="D53" s="12">
        <v>2</v>
      </c>
      <c r="E53" s="12">
        <v>2</v>
      </c>
      <c r="F53" s="12">
        <v>1</v>
      </c>
      <c r="G53" s="12">
        <v>1</v>
      </c>
      <c r="H53" s="12">
        <v>0</v>
      </c>
      <c r="I53" s="12">
        <v>0</v>
      </c>
      <c r="J53" s="12">
        <v>1</v>
      </c>
      <c r="K53" s="12">
        <v>2</v>
      </c>
      <c r="L53" s="12">
        <v>1</v>
      </c>
      <c r="M53" s="12">
        <v>1</v>
      </c>
      <c r="N53" s="13">
        <v>0</v>
      </c>
    </row>
    <row r="54" spans="1:14">
      <c r="A54" s="11">
        <v>3850000</v>
      </c>
      <c r="B54" s="12">
        <v>3250</v>
      </c>
      <c r="C54" s="12">
        <v>2</v>
      </c>
      <c r="D54" s="12">
        <v>1</v>
      </c>
      <c r="E54" s="12">
        <v>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1</v>
      </c>
      <c r="L54" s="12">
        <v>0</v>
      </c>
      <c r="M54" s="12">
        <v>0</v>
      </c>
      <c r="N54" s="13">
        <v>0</v>
      </c>
    </row>
    <row r="55" spans="1:14">
      <c r="A55" s="11">
        <v>6150000</v>
      </c>
      <c r="B55" s="12">
        <v>5900</v>
      </c>
      <c r="C55" s="12">
        <v>4</v>
      </c>
      <c r="D55" s="12">
        <v>3</v>
      </c>
      <c r="E55" s="12">
        <v>2</v>
      </c>
      <c r="F55" s="12">
        <v>1</v>
      </c>
      <c r="G55" s="12">
        <v>1</v>
      </c>
      <c r="H55" s="12">
        <v>1</v>
      </c>
      <c r="I55" s="12">
        <v>0</v>
      </c>
      <c r="J55" s="12">
        <v>1</v>
      </c>
      <c r="K55" s="12">
        <v>2</v>
      </c>
      <c r="L55" s="12">
        <v>1</v>
      </c>
      <c r="M55" s="12">
        <v>1</v>
      </c>
      <c r="N55" s="13">
        <v>0</v>
      </c>
    </row>
    <row r="56" spans="1:14">
      <c r="A56" s="11">
        <v>4950000</v>
      </c>
      <c r="B56" s="12">
        <v>4550</v>
      </c>
      <c r="C56" s="12">
        <v>3</v>
      </c>
      <c r="D56" s="12">
        <v>2</v>
      </c>
      <c r="E56" s="12">
        <v>2</v>
      </c>
      <c r="F56" s="12">
        <v>1</v>
      </c>
      <c r="G56" s="12">
        <v>0</v>
      </c>
      <c r="H56" s="12">
        <v>1</v>
      </c>
      <c r="I56" s="12">
        <v>0</v>
      </c>
      <c r="J56" s="12">
        <v>1</v>
      </c>
      <c r="K56" s="12">
        <v>2</v>
      </c>
      <c r="L56" s="12">
        <v>0</v>
      </c>
      <c r="M56" s="12">
        <v>0</v>
      </c>
      <c r="N56" s="13">
        <v>1</v>
      </c>
    </row>
    <row r="57" spans="1:14">
      <c r="A57" s="11">
        <v>7050000</v>
      </c>
      <c r="B57" s="12">
        <v>6550</v>
      </c>
      <c r="C57" s="12">
        <v>4</v>
      </c>
      <c r="D57" s="12">
        <v>3</v>
      </c>
      <c r="E57" s="12">
        <v>3</v>
      </c>
      <c r="F57" s="12">
        <v>1</v>
      </c>
      <c r="G57" s="12">
        <v>1</v>
      </c>
      <c r="H57" s="12">
        <v>0</v>
      </c>
      <c r="I57" s="12">
        <v>0</v>
      </c>
      <c r="J57" s="12">
        <v>1</v>
      </c>
      <c r="K57" s="12">
        <v>3</v>
      </c>
      <c r="L57" s="12">
        <v>1</v>
      </c>
      <c r="M57" s="12">
        <v>1</v>
      </c>
      <c r="N57" s="13">
        <v>0</v>
      </c>
    </row>
    <row r="58" spans="1:14">
      <c r="A58" s="11">
        <v>4450000</v>
      </c>
      <c r="B58" s="12">
        <v>4150</v>
      </c>
      <c r="C58" s="12">
        <v>3</v>
      </c>
      <c r="D58" s="12">
        <v>2</v>
      </c>
      <c r="E58" s="12">
        <v>1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2</v>
      </c>
      <c r="L58" s="12">
        <v>0</v>
      </c>
      <c r="M58" s="12">
        <v>0</v>
      </c>
      <c r="N58" s="13">
        <v>1</v>
      </c>
    </row>
    <row r="59" spans="1:14">
      <c r="A59" s="11">
        <v>3650000</v>
      </c>
      <c r="B59" s="12">
        <v>3150</v>
      </c>
      <c r="C59" s="12">
        <v>2</v>
      </c>
      <c r="D59" s="12">
        <v>1</v>
      </c>
      <c r="E59" s="12">
        <v>1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1</v>
      </c>
      <c r="L59" s="12">
        <v>0</v>
      </c>
      <c r="M59" s="12">
        <v>0</v>
      </c>
      <c r="N59" s="13">
        <v>0</v>
      </c>
    </row>
    <row r="60" spans="1:14">
      <c r="A60" s="11">
        <v>7750000</v>
      </c>
      <c r="B60" s="12">
        <v>7100</v>
      </c>
      <c r="C60" s="12">
        <v>5</v>
      </c>
      <c r="D60" s="12">
        <v>3</v>
      </c>
      <c r="E60" s="12">
        <v>3</v>
      </c>
      <c r="F60" s="12">
        <v>1</v>
      </c>
      <c r="G60" s="12">
        <v>1</v>
      </c>
      <c r="H60" s="12">
        <v>1</v>
      </c>
      <c r="I60" s="12">
        <v>0</v>
      </c>
      <c r="J60" s="12">
        <v>1</v>
      </c>
      <c r="K60" s="12">
        <v>3</v>
      </c>
      <c r="L60" s="12">
        <v>1</v>
      </c>
      <c r="M60" s="12">
        <v>1</v>
      </c>
      <c r="N60" s="13">
        <v>0</v>
      </c>
    </row>
    <row r="61" spans="1:14">
      <c r="A61" s="11">
        <v>5250000</v>
      </c>
      <c r="B61" s="12">
        <v>4950</v>
      </c>
      <c r="C61" s="12">
        <v>3</v>
      </c>
      <c r="D61" s="12">
        <v>2</v>
      </c>
      <c r="E61" s="12">
        <v>2</v>
      </c>
      <c r="F61" s="12">
        <v>1</v>
      </c>
      <c r="G61" s="12">
        <v>0</v>
      </c>
      <c r="H61" s="12">
        <v>0</v>
      </c>
      <c r="I61" s="12">
        <v>0</v>
      </c>
      <c r="J61" s="12">
        <v>1</v>
      </c>
      <c r="K61" s="12">
        <v>2</v>
      </c>
      <c r="L61" s="12">
        <v>0</v>
      </c>
      <c r="M61" s="12">
        <v>0</v>
      </c>
      <c r="N61" s="13">
        <v>1</v>
      </c>
    </row>
    <row r="62" spans="1:14">
      <c r="A62" s="11">
        <v>4350000</v>
      </c>
      <c r="B62" s="12">
        <v>4050</v>
      </c>
      <c r="C62" s="12">
        <v>3</v>
      </c>
      <c r="D62" s="12">
        <v>2</v>
      </c>
      <c r="E62" s="12">
        <v>1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1</v>
      </c>
      <c r="L62" s="12">
        <v>0</v>
      </c>
      <c r="M62" s="12">
        <v>0</v>
      </c>
      <c r="N62" s="13">
        <v>0</v>
      </c>
    </row>
    <row r="63" spans="1:14">
      <c r="A63" s="11">
        <v>6550000</v>
      </c>
      <c r="B63" s="12">
        <v>6050</v>
      </c>
      <c r="C63" s="12">
        <v>4</v>
      </c>
      <c r="D63" s="12">
        <v>2</v>
      </c>
      <c r="E63" s="12">
        <v>2</v>
      </c>
      <c r="F63" s="12">
        <v>1</v>
      </c>
      <c r="G63" s="12">
        <v>1</v>
      </c>
      <c r="H63" s="12">
        <v>0</v>
      </c>
      <c r="I63" s="12">
        <v>0</v>
      </c>
      <c r="J63" s="12">
        <v>1</v>
      </c>
      <c r="K63" s="12">
        <v>2</v>
      </c>
      <c r="L63" s="12">
        <v>1</v>
      </c>
      <c r="M63" s="12">
        <v>1</v>
      </c>
      <c r="N63" s="13">
        <v>0</v>
      </c>
    </row>
    <row r="64" spans="1:14">
      <c r="A64" s="11">
        <v>5750000</v>
      </c>
      <c r="B64" s="12">
        <v>5450</v>
      </c>
      <c r="C64" s="12">
        <v>4</v>
      </c>
      <c r="D64" s="12">
        <v>2</v>
      </c>
      <c r="E64" s="12">
        <v>2</v>
      </c>
      <c r="F64" s="12">
        <v>1</v>
      </c>
      <c r="G64" s="12">
        <v>0</v>
      </c>
      <c r="H64" s="12">
        <v>1</v>
      </c>
      <c r="I64" s="12">
        <v>0</v>
      </c>
      <c r="J64" s="12">
        <v>1</v>
      </c>
      <c r="K64" s="12">
        <v>2</v>
      </c>
      <c r="L64" s="12">
        <v>0</v>
      </c>
      <c r="M64" s="12">
        <v>0</v>
      </c>
      <c r="N64" s="13">
        <v>1</v>
      </c>
    </row>
    <row r="65" spans="1:14">
      <c r="A65" s="11">
        <v>4850000</v>
      </c>
      <c r="B65" s="12">
        <v>4450</v>
      </c>
      <c r="C65" s="12">
        <v>3</v>
      </c>
      <c r="D65" s="12">
        <v>2</v>
      </c>
      <c r="E65" s="12">
        <v>2</v>
      </c>
      <c r="F65" s="12">
        <v>1</v>
      </c>
      <c r="G65" s="12">
        <v>0</v>
      </c>
      <c r="H65" s="12">
        <v>0</v>
      </c>
      <c r="I65" s="12">
        <v>0</v>
      </c>
      <c r="J65" s="12">
        <v>0</v>
      </c>
      <c r="K65" s="12">
        <v>2</v>
      </c>
      <c r="L65" s="12">
        <v>0</v>
      </c>
      <c r="M65" s="12">
        <v>0</v>
      </c>
      <c r="N65" s="13">
        <v>1</v>
      </c>
    </row>
    <row r="66" spans="1:14">
      <c r="A66" s="11">
        <v>7350000</v>
      </c>
      <c r="B66" s="12">
        <v>6700</v>
      </c>
      <c r="C66" s="12">
        <v>5</v>
      </c>
      <c r="D66" s="12">
        <v>3</v>
      </c>
      <c r="E66" s="12">
        <v>3</v>
      </c>
      <c r="F66" s="12">
        <v>1</v>
      </c>
      <c r="G66" s="12">
        <v>1</v>
      </c>
      <c r="H66" s="12">
        <v>1</v>
      </c>
      <c r="I66" s="12">
        <v>0</v>
      </c>
      <c r="J66" s="12">
        <v>1</v>
      </c>
      <c r="K66" s="12">
        <v>3</v>
      </c>
      <c r="L66" s="12">
        <v>1</v>
      </c>
      <c r="M66" s="12">
        <v>1</v>
      </c>
      <c r="N66" s="13">
        <v>0</v>
      </c>
    </row>
    <row r="67" spans="1:14">
      <c r="A67" s="11">
        <v>4150000</v>
      </c>
      <c r="B67" s="12">
        <v>3850</v>
      </c>
      <c r="C67" s="12">
        <v>3</v>
      </c>
      <c r="D67" s="12">
        <v>2</v>
      </c>
      <c r="E67" s="12">
        <v>1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1</v>
      </c>
      <c r="L67" s="12">
        <v>0</v>
      </c>
      <c r="M67" s="12">
        <v>0</v>
      </c>
      <c r="N67" s="13">
        <v>0</v>
      </c>
    </row>
    <row r="68" spans="1:14">
      <c r="A68" s="11">
        <v>6850000</v>
      </c>
      <c r="B68" s="12">
        <v>6250</v>
      </c>
      <c r="C68" s="12">
        <v>4</v>
      </c>
      <c r="D68" s="12">
        <v>3</v>
      </c>
      <c r="E68" s="12">
        <v>2</v>
      </c>
      <c r="F68" s="12">
        <v>1</v>
      </c>
      <c r="G68" s="12">
        <v>1</v>
      </c>
      <c r="H68" s="12">
        <v>0</v>
      </c>
      <c r="I68" s="12">
        <v>0</v>
      </c>
      <c r="J68" s="12">
        <v>1</v>
      </c>
      <c r="K68" s="12">
        <v>2</v>
      </c>
      <c r="L68" s="12">
        <v>1</v>
      </c>
      <c r="M68" s="12">
        <v>1</v>
      </c>
      <c r="N68" s="13">
        <v>0</v>
      </c>
    </row>
    <row r="69" spans="1:14">
      <c r="A69" s="11">
        <v>5550000</v>
      </c>
      <c r="B69" s="12">
        <v>5250</v>
      </c>
      <c r="C69" s="12">
        <v>3</v>
      </c>
      <c r="D69" s="12">
        <v>2</v>
      </c>
      <c r="E69" s="12">
        <v>2</v>
      </c>
      <c r="F69" s="12">
        <v>1</v>
      </c>
      <c r="G69" s="12">
        <v>0</v>
      </c>
      <c r="H69" s="12">
        <v>1</v>
      </c>
      <c r="I69" s="12">
        <v>0</v>
      </c>
      <c r="J69" s="12">
        <v>1</v>
      </c>
      <c r="K69" s="12">
        <v>2</v>
      </c>
      <c r="L69" s="12">
        <v>0</v>
      </c>
      <c r="M69" s="12">
        <v>0</v>
      </c>
      <c r="N69" s="13">
        <v>1</v>
      </c>
    </row>
    <row r="70" spans="1:14">
      <c r="A70" s="11">
        <v>3450000</v>
      </c>
      <c r="B70" s="12">
        <v>2950</v>
      </c>
      <c r="C70" s="12">
        <v>2</v>
      </c>
      <c r="D70" s="12">
        <v>1</v>
      </c>
      <c r="E70" s="12">
        <v>1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1</v>
      </c>
      <c r="L70" s="12">
        <v>0</v>
      </c>
      <c r="M70" s="12">
        <v>0</v>
      </c>
      <c r="N70" s="13">
        <v>0</v>
      </c>
    </row>
    <row r="71" spans="1:14">
      <c r="A71" s="11">
        <v>8250000</v>
      </c>
      <c r="B71" s="12">
        <v>7600</v>
      </c>
      <c r="C71" s="12">
        <v>5</v>
      </c>
      <c r="D71" s="12">
        <v>4</v>
      </c>
      <c r="E71" s="12">
        <v>3</v>
      </c>
      <c r="F71" s="12">
        <v>1</v>
      </c>
      <c r="G71" s="12">
        <v>1</v>
      </c>
      <c r="H71" s="12">
        <v>1</v>
      </c>
      <c r="I71" s="12">
        <v>0</v>
      </c>
      <c r="J71" s="12">
        <v>1</v>
      </c>
      <c r="K71" s="12">
        <v>3</v>
      </c>
      <c r="L71" s="12">
        <v>1</v>
      </c>
      <c r="M71" s="12">
        <v>1</v>
      </c>
      <c r="N71" s="13">
        <v>0</v>
      </c>
    </row>
    <row r="72" spans="1:14">
      <c r="A72" s="11">
        <v>28000000</v>
      </c>
      <c r="B72" s="12">
        <v>9800</v>
      </c>
      <c r="C72" s="12">
        <v>6</v>
      </c>
      <c r="D72" s="12">
        <v>5</v>
      </c>
      <c r="E72" s="12">
        <v>4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4</v>
      </c>
      <c r="L72" s="12">
        <v>1</v>
      </c>
      <c r="M72" s="12">
        <v>1</v>
      </c>
      <c r="N72" s="13">
        <v>0</v>
      </c>
    </row>
    <row r="73" spans="1:14">
      <c r="A73" s="11">
        <v>36000000</v>
      </c>
      <c r="B73" s="12">
        <v>11800</v>
      </c>
      <c r="C73" s="12">
        <v>7</v>
      </c>
      <c r="D73" s="12">
        <v>6</v>
      </c>
      <c r="E73" s="12">
        <v>5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5</v>
      </c>
      <c r="L73" s="12">
        <v>1</v>
      </c>
      <c r="M73" s="12">
        <v>1</v>
      </c>
      <c r="N73" s="13">
        <v>0</v>
      </c>
    </row>
    <row r="74" spans="1:14">
      <c r="A74" s="11">
        <v>45000000</v>
      </c>
      <c r="B74" s="12">
        <v>14500</v>
      </c>
      <c r="C74" s="12">
        <v>8</v>
      </c>
      <c r="D74" s="12">
        <v>7</v>
      </c>
      <c r="E74" s="12">
        <v>6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6</v>
      </c>
      <c r="L74" s="12">
        <v>1</v>
      </c>
      <c r="M74" s="12">
        <v>1</v>
      </c>
      <c r="N74" s="13">
        <v>0</v>
      </c>
    </row>
    <row r="75" spans="1:14">
      <c r="A75" s="11">
        <v>52000000</v>
      </c>
      <c r="B75" s="12">
        <v>17000</v>
      </c>
      <c r="C75" s="12">
        <v>9</v>
      </c>
      <c r="D75" s="12">
        <v>8</v>
      </c>
      <c r="E75" s="12">
        <v>7</v>
      </c>
      <c r="F75" s="12">
        <v>1</v>
      </c>
      <c r="G75" s="12">
        <v>1</v>
      </c>
      <c r="H75" s="12">
        <v>1</v>
      </c>
      <c r="I75" s="12">
        <v>1</v>
      </c>
      <c r="J75" s="12">
        <v>1</v>
      </c>
      <c r="K75" s="12">
        <v>7</v>
      </c>
      <c r="L75" s="12">
        <v>1</v>
      </c>
      <c r="M75" s="12">
        <v>1</v>
      </c>
      <c r="N75" s="13">
        <v>0</v>
      </c>
    </row>
    <row r="76" spans="1:14">
      <c r="A76" s="11">
        <v>29500000</v>
      </c>
      <c r="B76" s="12">
        <v>10200</v>
      </c>
      <c r="C76" s="12">
        <v>6</v>
      </c>
      <c r="D76" s="12">
        <v>5</v>
      </c>
      <c r="E76" s="12">
        <v>4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4</v>
      </c>
      <c r="L76" s="12">
        <v>1</v>
      </c>
      <c r="M76" s="12">
        <v>1</v>
      </c>
      <c r="N76" s="13">
        <v>0</v>
      </c>
    </row>
    <row r="77" spans="1:14">
      <c r="A77" s="11">
        <v>4700000</v>
      </c>
      <c r="B77" s="12">
        <v>4250</v>
      </c>
      <c r="C77" s="12">
        <v>3</v>
      </c>
      <c r="D77" s="12">
        <v>2</v>
      </c>
      <c r="E77" s="12">
        <v>2</v>
      </c>
      <c r="F77" s="12">
        <v>1</v>
      </c>
      <c r="G77" s="12">
        <v>0</v>
      </c>
      <c r="H77" s="12">
        <v>0</v>
      </c>
      <c r="I77" s="12">
        <v>0</v>
      </c>
      <c r="J77" s="12">
        <v>1</v>
      </c>
      <c r="K77" s="12">
        <v>2</v>
      </c>
      <c r="L77" s="12">
        <v>0</v>
      </c>
      <c r="M77" s="12">
        <v>0</v>
      </c>
      <c r="N77" s="13">
        <v>1</v>
      </c>
    </row>
    <row r="78" spans="1:14">
      <c r="A78" s="11">
        <v>6050000</v>
      </c>
      <c r="B78" s="12">
        <v>5750</v>
      </c>
      <c r="C78" s="12">
        <v>4</v>
      </c>
      <c r="D78" s="12">
        <v>3</v>
      </c>
      <c r="E78" s="12">
        <v>2</v>
      </c>
      <c r="F78" s="12">
        <v>1</v>
      </c>
      <c r="G78" s="12">
        <v>1</v>
      </c>
      <c r="H78" s="12">
        <v>0</v>
      </c>
      <c r="I78" s="12">
        <v>0</v>
      </c>
      <c r="J78" s="12">
        <v>1</v>
      </c>
      <c r="K78" s="12">
        <v>2</v>
      </c>
      <c r="L78" s="12">
        <v>1</v>
      </c>
      <c r="M78" s="12">
        <v>1</v>
      </c>
      <c r="N78" s="13">
        <v>0</v>
      </c>
    </row>
    <row r="79" spans="1:14">
      <c r="A79" s="11">
        <v>5100000</v>
      </c>
      <c r="B79" s="12">
        <v>4850</v>
      </c>
      <c r="C79" s="12">
        <v>3</v>
      </c>
      <c r="D79" s="12">
        <v>2</v>
      </c>
      <c r="E79" s="12">
        <v>2</v>
      </c>
      <c r="F79" s="12">
        <v>1</v>
      </c>
      <c r="G79" s="12">
        <v>0</v>
      </c>
      <c r="H79" s="12">
        <v>1</v>
      </c>
      <c r="I79" s="12">
        <v>0</v>
      </c>
      <c r="J79" s="12">
        <v>1</v>
      </c>
      <c r="K79" s="12">
        <v>2</v>
      </c>
      <c r="L79" s="12">
        <v>0</v>
      </c>
      <c r="M79" s="12">
        <v>0</v>
      </c>
      <c r="N79" s="13">
        <v>1</v>
      </c>
    </row>
    <row r="80" spans="1:14">
      <c r="A80" s="11">
        <v>3950000</v>
      </c>
      <c r="B80" s="12">
        <v>3350</v>
      </c>
      <c r="C80" s="12">
        <v>2</v>
      </c>
      <c r="D80" s="12">
        <v>1</v>
      </c>
      <c r="E80" s="12">
        <v>1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1</v>
      </c>
      <c r="L80" s="12">
        <v>0</v>
      </c>
      <c r="M80" s="12">
        <v>0</v>
      </c>
      <c r="N80" s="13">
        <v>0</v>
      </c>
    </row>
    <row r="81" spans="1:14">
      <c r="A81" s="11">
        <v>7600000</v>
      </c>
      <c r="B81" s="12">
        <v>6950</v>
      </c>
      <c r="C81" s="12">
        <v>5</v>
      </c>
      <c r="D81" s="12">
        <v>3</v>
      </c>
      <c r="E81" s="12">
        <v>3</v>
      </c>
      <c r="F81" s="12">
        <v>1</v>
      </c>
      <c r="G81" s="12">
        <v>1</v>
      </c>
      <c r="H81" s="12">
        <v>1</v>
      </c>
      <c r="I81" s="12">
        <v>0</v>
      </c>
      <c r="J81" s="12">
        <v>1</v>
      </c>
      <c r="K81" s="12">
        <v>3</v>
      </c>
      <c r="L81" s="12">
        <v>1</v>
      </c>
      <c r="M81" s="12">
        <v>1</v>
      </c>
      <c r="N81" s="13">
        <v>0</v>
      </c>
    </row>
    <row r="82" spans="1:14">
      <c r="A82" s="11">
        <v>4800000</v>
      </c>
      <c r="B82" s="12">
        <v>4450</v>
      </c>
      <c r="C82" s="12">
        <v>3</v>
      </c>
      <c r="D82" s="12">
        <v>2</v>
      </c>
      <c r="E82" s="12">
        <v>2</v>
      </c>
      <c r="F82" s="12">
        <v>1</v>
      </c>
      <c r="G82" s="12">
        <v>0</v>
      </c>
      <c r="H82" s="12">
        <v>0</v>
      </c>
      <c r="I82" s="12">
        <v>0</v>
      </c>
      <c r="J82" s="12">
        <v>1</v>
      </c>
      <c r="K82" s="12">
        <v>2</v>
      </c>
      <c r="L82" s="12">
        <v>0</v>
      </c>
      <c r="M82" s="12">
        <v>0</v>
      </c>
      <c r="N82" s="13">
        <v>1</v>
      </c>
    </row>
    <row r="83" spans="1:14">
      <c r="A83" s="11">
        <v>5700000</v>
      </c>
      <c r="B83" s="12">
        <v>5350</v>
      </c>
      <c r="C83" s="12">
        <v>4</v>
      </c>
      <c r="D83" s="12">
        <v>2</v>
      </c>
      <c r="E83" s="12">
        <v>2</v>
      </c>
      <c r="F83" s="12">
        <v>1</v>
      </c>
      <c r="G83" s="12">
        <v>1</v>
      </c>
      <c r="H83" s="12">
        <v>0</v>
      </c>
      <c r="I83" s="12">
        <v>0</v>
      </c>
      <c r="J83" s="12">
        <v>1</v>
      </c>
      <c r="K83" s="12">
        <v>2</v>
      </c>
      <c r="L83" s="12">
        <v>1</v>
      </c>
      <c r="M83" s="12">
        <v>1</v>
      </c>
      <c r="N83" s="13">
        <v>0</v>
      </c>
    </row>
    <row r="84" spans="1:14">
      <c r="A84" s="11">
        <v>3600000</v>
      </c>
      <c r="B84" s="12">
        <v>3100</v>
      </c>
      <c r="C84" s="12">
        <v>2</v>
      </c>
      <c r="D84" s="12">
        <v>1</v>
      </c>
      <c r="E84" s="12">
        <v>1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1</v>
      </c>
      <c r="L84" s="12">
        <v>0</v>
      </c>
      <c r="M84" s="12">
        <v>0</v>
      </c>
      <c r="N84" s="13">
        <v>0</v>
      </c>
    </row>
    <row r="85" spans="1:14">
      <c r="A85" s="11">
        <v>6900000</v>
      </c>
      <c r="B85" s="12">
        <v>6300</v>
      </c>
      <c r="C85" s="12">
        <v>4</v>
      </c>
      <c r="D85" s="12">
        <v>3</v>
      </c>
      <c r="E85" s="12">
        <v>3</v>
      </c>
      <c r="F85" s="12">
        <v>1</v>
      </c>
      <c r="G85" s="12">
        <v>1</v>
      </c>
      <c r="H85" s="12">
        <v>1</v>
      </c>
      <c r="I85" s="12">
        <v>0</v>
      </c>
      <c r="J85" s="12">
        <v>1</v>
      </c>
      <c r="K85" s="12">
        <v>3</v>
      </c>
      <c r="L85" s="12">
        <v>1</v>
      </c>
      <c r="M85" s="12">
        <v>1</v>
      </c>
      <c r="N85" s="13">
        <v>0</v>
      </c>
    </row>
    <row r="86" spans="1:14">
      <c r="A86" s="11">
        <v>5100000</v>
      </c>
      <c r="B86" s="12">
        <v>4750</v>
      </c>
      <c r="C86" s="12">
        <v>3</v>
      </c>
      <c r="D86" s="12">
        <v>2</v>
      </c>
      <c r="E86" s="12">
        <v>2</v>
      </c>
      <c r="F86" s="12">
        <v>1</v>
      </c>
      <c r="G86" s="12">
        <v>0</v>
      </c>
      <c r="H86" s="12">
        <v>1</v>
      </c>
      <c r="I86" s="12">
        <v>0</v>
      </c>
      <c r="J86" s="12">
        <v>1</v>
      </c>
      <c r="K86" s="12">
        <v>2</v>
      </c>
      <c r="L86" s="12">
        <v>0</v>
      </c>
      <c r="M86" s="12">
        <v>0</v>
      </c>
      <c r="N86" s="13">
        <v>1</v>
      </c>
    </row>
    <row r="87" spans="1:14">
      <c r="A87" s="11">
        <v>7400000</v>
      </c>
      <c r="B87" s="12">
        <v>6750</v>
      </c>
      <c r="C87" s="12">
        <v>5</v>
      </c>
      <c r="D87" s="12">
        <v>3</v>
      </c>
      <c r="E87" s="12">
        <v>3</v>
      </c>
      <c r="F87" s="12">
        <v>1</v>
      </c>
      <c r="G87" s="12">
        <v>1</v>
      </c>
      <c r="H87" s="12">
        <v>0</v>
      </c>
      <c r="I87" s="12">
        <v>0</v>
      </c>
      <c r="J87" s="12">
        <v>1</v>
      </c>
      <c r="K87" s="12">
        <v>3</v>
      </c>
      <c r="L87" s="12">
        <v>1</v>
      </c>
      <c r="M87" s="12">
        <v>1</v>
      </c>
      <c r="N87" s="13">
        <v>0</v>
      </c>
    </row>
    <row r="88" spans="1:14">
      <c r="A88" s="11">
        <v>4300000</v>
      </c>
      <c r="B88" s="12">
        <v>3950</v>
      </c>
      <c r="C88" s="12">
        <v>3</v>
      </c>
      <c r="D88" s="12">
        <v>2</v>
      </c>
      <c r="E88" s="12">
        <v>1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2</v>
      </c>
      <c r="L88" s="12">
        <v>0</v>
      </c>
      <c r="M88" s="12">
        <v>0</v>
      </c>
      <c r="N88" s="13">
        <v>0</v>
      </c>
    </row>
    <row r="89" spans="1:14">
      <c r="A89" s="11">
        <v>3850000</v>
      </c>
      <c r="B89" s="12">
        <v>3400</v>
      </c>
      <c r="C89" s="12">
        <v>2</v>
      </c>
      <c r="D89" s="12">
        <v>1</v>
      </c>
      <c r="E89" s="12">
        <v>1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1</v>
      </c>
      <c r="L89" s="12">
        <v>0</v>
      </c>
      <c r="M89" s="12">
        <v>0</v>
      </c>
      <c r="N89" s="13">
        <v>0</v>
      </c>
    </row>
    <row r="90" spans="1:14">
      <c r="A90" s="11">
        <v>7900000</v>
      </c>
      <c r="B90" s="12">
        <v>7300</v>
      </c>
      <c r="C90" s="12">
        <v>5</v>
      </c>
      <c r="D90" s="12">
        <v>4</v>
      </c>
      <c r="E90" s="12">
        <v>3</v>
      </c>
      <c r="F90" s="12">
        <v>1</v>
      </c>
      <c r="G90" s="12">
        <v>1</v>
      </c>
      <c r="H90" s="12">
        <v>1</v>
      </c>
      <c r="I90" s="12">
        <v>0</v>
      </c>
      <c r="J90" s="12">
        <v>1</v>
      </c>
      <c r="K90" s="12">
        <v>3</v>
      </c>
      <c r="L90" s="12">
        <v>1</v>
      </c>
      <c r="M90" s="12">
        <v>1</v>
      </c>
      <c r="N90" s="13">
        <v>0</v>
      </c>
    </row>
    <row r="91" spans="1:14">
      <c r="A91" s="11">
        <v>5300000</v>
      </c>
      <c r="B91" s="12">
        <v>4900</v>
      </c>
      <c r="C91" s="12">
        <v>3</v>
      </c>
      <c r="D91" s="12">
        <v>2</v>
      </c>
      <c r="E91" s="12">
        <v>2</v>
      </c>
      <c r="F91" s="12">
        <v>1</v>
      </c>
      <c r="G91" s="12">
        <v>0</v>
      </c>
      <c r="H91" s="12">
        <v>0</v>
      </c>
      <c r="I91" s="12">
        <v>0</v>
      </c>
      <c r="J91" s="12">
        <v>1</v>
      </c>
      <c r="K91" s="12">
        <v>2</v>
      </c>
      <c r="L91" s="12">
        <v>0</v>
      </c>
      <c r="M91" s="12">
        <v>0</v>
      </c>
      <c r="N91" s="13">
        <v>1</v>
      </c>
    </row>
    <row r="92" spans="1:14">
      <c r="A92" s="11">
        <v>4550000</v>
      </c>
      <c r="B92" s="12">
        <v>4200</v>
      </c>
      <c r="C92" s="12">
        <v>3</v>
      </c>
      <c r="D92" s="12">
        <v>2</v>
      </c>
      <c r="E92" s="12">
        <v>1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2</v>
      </c>
      <c r="L92" s="12">
        <v>0</v>
      </c>
      <c r="M92" s="12">
        <v>0</v>
      </c>
      <c r="N92" s="13">
        <v>1</v>
      </c>
    </row>
    <row r="93" spans="1:14">
      <c r="A93" s="11">
        <v>6200000</v>
      </c>
      <c r="B93" s="12">
        <v>5850</v>
      </c>
      <c r="C93" s="12">
        <v>4</v>
      </c>
      <c r="D93" s="12">
        <v>3</v>
      </c>
      <c r="E93" s="12">
        <v>2</v>
      </c>
      <c r="F93" s="12">
        <v>1</v>
      </c>
      <c r="G93" s="12">
        <v>1</v>
      </c>
      <c r="H93" s="12">
        <v>0</v>
      </c>
      <c r="I93" s="12">
        <v>0</v>
      </c>
      <c r="J93" s="12">
        <v>1</v>
      </c>
      <c r="K93" s="12">
        <v>2</v>
      </c>
      <c r="L93" s="12">
        <v>1</v>
      </c>
      <c r="M93" s="12">
        <v>1</v>
      </c>
      <c r="N93" s="13">
        <v>0</v>
      </c>
    </row>
    <row r="94" spans="1:14">
      <c r="A94" s="11">
        <v>5500000</v>
      </c>
      <c r="B94" s="12">
        <v>5150</v>
      </c>
      <c r="C94" s="12">
        <v>3</v>
      </c>
      <c r="D94" s="12">
        <v>2</v>
      </c>
      <c r="E94" s="12">
        <v>2</v>
      </c>
      <c r="F94" s="12">
        <v>1</v>
      </c>
      <c r="G94" s="12">
        <v>0</v>
      </c>
      <c r="H94" s="12">
        <v>1</v>
      </c>
      <c r="I94" s="12">
        <v>0</v>
      </c>
      <c r="J94" s="12">
        <v>1</v>
      </c>
      <c r="K94" s="12">
        <v>2</v>
      </c>
      <c r="L94" s="12">
        <v>0</v>
      </c>
      <c r="M94" s="12">
        <v>0</v>
      </c>
      <c r="N94" s="13">
        <v>1</v>
      </c>
    </row>
    <row r="95" spans="1:14">
      <c r="A95" s="11">
        <v>4700000</v>
      </c>
      <c r="B95" s="12">
        <v>4350</v>
      </c>
      <c r="C95" s="12">
        <v>3</v>
      </c>
      <c r="D95" s="12">
        <v>2</v>
      </c>
      <c r="E95" s="12">
        <v>2</v>
      </c>
      <c r="F95" s="12">
        <v>1</v>
      </c>
      <c r="G95" s="12">
        <v>0</v>
      </c>
      <c r="H95" s="12">
        <v>0</v>
      </c>
      <c r="I95" s="12">
        <v>0</v>
      </c>
      <c r="J95" s="12">
        <v>0</v>
      </c>
      <c r="K95" s="12">
        <v>2</v>
      </c>
      <c r="L95" s="12">
        <v>0</v>
      </c>
      <c r="M95" s="12">
        <v>0</v>
      </c>
      <c r="N95" s="13">
        <v>1</v>
      </c>
    </row>
    <row r="96" spans="1:14">
      <c r="A96" s="11">
        <v>7150000</v>
      </c>
      <c r="B96" s="12">
        <v>6500</v>
      </c>
      <c r="C96" s="12">
        <v>5</v>
      </c>
      <c r="D96" s="12">
        <v>3</v>
      </c>
      <c r="E96" s="12">
        <v>3</v>
      </c>
      <c r="F96" s="12">
        <v>1</v>
      </c>
      <c r="G96" s="12">
        <v>1</v>
      </c>
      <c r="H96" s="12">
        <v>1</v>
      </c>
      <c r="I96" s="12">
        <v>0</v>
      </c>
      <c r="J96" s="12">
        <v>1</v>
      </c>
      <c r="K96" s="12">
        <v>3</v>
      </c>
      <c r="L96" s="12">
        <v>1</v>
      </c>
      <c r="M96" s="12">
        <v>1</v>
      </c>
      <c r="N96" s="13">
        <v>0</v>
      </c>
    </row>
    <row r="97" spans="1:14">
      <c r="A97" s="11">
        <v>4050000</v>
      </c>
      <c r="B97" s="12">
        <v>3700</v>
      </c>
      <c r="C97" s="12">
        <v>3</v>
      </c>
      <c r="D97" s="12">
        <v>2</v>
      </c>
      <c r="E97" s="12">
        <v>1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1</v>
      </c>
      <c r="L97" s="12">
        <v>0</v>
      </c>
      <c r="M97" s="12">
        <v>0</v>
      </c>
      <c r="N97" s="13">
        <v>0</v>
      </c>
    </row>
    <row r="98" spans="1:14">
      <c r="A98" s="11">
        <v>6650000</v>
      </c>
      <c r="B98" s="12">
        <v>6150</v>
      </c>
      <c r="C98" s="12">
        <v>4</v>
      </c>
      <c r="D98" s="12">
        <v>3</v>
      </c>
      <c r="E98" s="12">
        <v>2</v>
      </c>
      <c r="F98" s="12">
        <v>1</v>
      </c>
      <c r="G98" s="12">
        <v>1</v>
      </c>
      <c r="H98" s="12">
        <v>0</v>
      </c>
      <c r="I98" s="12">
        <v>0</v>
      </c>
      <c r="J98" s="12">
        <v>1</v>
      </c>
      <c r="K98" s="12">
        <v>2</v>
      </c>
      <c r="L98" s="12">
        <v>1</v>
      </c>
      <c r="M98" s="12">
        <v>1</v>
      </c>
      <c r="N98" s="13">
        <v>0</v>
      </c>
    </row>
    <row r="99" spans="1:14">
      <c r="A99" s="11">
        <v>5850000</v>
      </c>
      <c r="B99" s="12">
        <v>5450</v>
      </c>
      <c r="C99" s="12">
        <v>4</v>
      </c>
      <c r="D99" s="12">
        <v>2</v>
      </c>
      <c r="E99" s="12">
        <v>2</v>
      </c>
      <c r="F99" s="12">
        <v>1</v>
      </c>
      <c r="G99" s="12">
        <v>0</v>
      </c>
      <c r="H99" s="12">
        <v>1</v>
      </c>
      <c r="I99" s="12">
        <v>0</v>
      </c>
      <c r="J99" s="12">
        <v>1</v>
      </c>
      <c r="K99" s="12">
        <v>2</v>
      </c>
      <c r="L99" s="12">
        <v>0</v>
      </c>
      <c r="M99" s="12">
        <v>0</v>
      </c>
      <c r="N99" s="13">
        <v>1</v>
      </c>
    </row>
    <row r="100" spans="1:14">
      <c r="A100" s="11">
        <v>3500000</v>
      </c>
      <c r="B100" s="12">
        <v>3000</v>
      </c>
      <c r="C100" s="12">
        <v>2</v>
      </c>
      <c r="D100" s="12">
        <v>1</v>
      </c>
      <c r="E100" s="12">
        <v>1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1</v>
      </c>
      <c r="L100" s="12">
        <v>0</v>
      </c>
      <c r="M100" s="12">
        <v>0</v>
      </c>
      <c r="N100" s="13">
        <v>0</v>
      </c>
    </row>
    <row r="101" spans="1:14">
      <c r="A101" s="11">
        <v>8450000</v>
      </c>
      <c r="B101" s="12">
        <v>7800</v>
      </c>
      <c r="C101" s="12">
        <v>5</v>
      </c>
      <c r="D101" s="12">
        <v>4</v>
      </c>
      <c r="E101" s="12">
        <v>3</v>
      </c>
      <c r="F101" s="12">
        <v>1</v>
      </c>
      <c r="G101" s="12">
        <v>1</v>
      </c>
      <c r="H101" s="12">
        <v>1</v>
      </c>
      <c r="I101" s="12">
        <v>0</v>
      </c>
      <c r="J101" s="12">
        <v>1</v>
      </c>
      <c r="K101" s="12">
        <v>3</v>
      </c>
      <c r="L101" s="12">
        <v>1</v>
      </c>
      <c r="M101" s="12">
        <v>1</v>
      </c>
      <c r="N101" s="13">
        <v>0</v>
      </c>
    </row>
    <row r="102" spans="1:14">
      <c r="A102" s="11">
        <v>26500000</v>
      </c>
      <c r="B102" s="12">
        <v>9600</v>
      </c>
      <c r="C102" s="12">
        <v>6</v>
      </c>
      <c r="D102" s="12">
        <v>5</v>
      </c>
      <c r="E102" s="12">
        <v>4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4</v>
      </c>
      <c r="L102" s="12">
        <v>1</v>
      </c>
      <c r="M102" s="12">
        <v>1</v>
      </c>
      <c r="N102" s="13">
        <v>0</v>
      </c>
    </row>
    <row r="103" spans="1:14">
      <c r="A103" s="11">
        <v>34000000</v>
      </c>
      <c r="B103" s="12">
        <v>11500</v>
      </c>
      <c r="C103" s="12">
        <v>7</v>
      </c>
      <c r="D103" s="12">
        <v>6</v>
      </c>
      <c r="E103" s="12">
        <v>5</v>
      </c>
      <c r="F103" s="12">
        <v>1</v>
      </c>
      <c r="G103" s="12">
        <v>1</v>
      </c>
      <c r="H103" s="12">
        <v>1</v>
      </c>
      <c r="I103" s="12">
        <v>1</v>
      </c>
      <c r="J103" s="12">
        <v>1</v>
      </c>
      <c r="K103" s="12">
        <v>5</v>
      </c>
      <c r="L103" s="12">
        <v>1</v>
      </c>
      <c r="M103" s="12">
        <v>1</v>
      </c>
      <c r="N103" s="13">
        <v>0</v>
      </c>
    </row>
    <row r="104" spans="1:14">
      <c r="A104" s="11">
        <v>47000000</v>
      </c>
      <c r="B104" s="12">
        <v>15000</v>
      </c>
      <c r="C104" s="12">
        <v>8</v>
      </c>
      <c r="D104" s="12">
        <v>7</v>
      </c>
      <c r="E104" s="12">
        <v>6</v>
      </c>
      <c r="F104" s="12">
        <v>1</v>
      </c>
      <c r="G104" s="12">
        <v>1</v>
      </c>
      <c r="H104" s="12">
        <v>1</v>
      </c>
      <c r="I104" s="12">
        <v>1</v>
      </c>
      <c r="J104" s="12">
        <v>1</v>
      </c>
      <c r="K104" s="12">
        <v>6</v>
      </c>
      <c r="L104" s="12">
        <v>1</v>
      </c>
      <c r="M104" s="12">
        <v>1</v>
      </c>
      <c r="N104" s="13">
        <v>0</v>
      </c>
    </row>
    <row r="105" spans="1:14">
      <c r="A105" s="11">
        <v>58000000</v>
      </c>
      <c r="B105" s="12">
        <v>18500</v>
      </c>
      <c r="C105" s="12">
        <v>9</v>
      </c>
      <c r="D105" s="12">
        <v>8</v>
      </c>
      <c r="E105" s="12">
        <v>7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8</v>
      </c>
      <c r="L105" s="12">
        <v>1</v>
      </c>
      <c r="M105" s="12">
        <v>1</v>
      </c>
      <c r="N105" s="13">
        <v>0</v>
      </c>
    </row>
    <row r="106" spans="1:14">
      <c r="A106" s="11">
        <v>62000000</v>
      </c>
      <c r="B106" s="12">
        <v>22000</v>
      </c>
      <c r="C106" s="12">
        <v>10</v>
      </c>
      <c r="D106" s="12">
        <v>9</v>
      </c>
      <c r="E106" s="12">
        <v>8</v>
      </c>
      <c r="F106" s="12">
        <v>1</v>
      </c>
      <c r="G106" s="12">
        <v>1</v>
      </c>
      <c r="H106" s="12">
        <v>1</v>
      </c>
      <c r="I106" s="12">
        <v>1</v>
      </c>
      <c r="J106" s="12">
        <v>1</v>
      </c>
      <c r="K106" s="12">
        <v>10</v>
      </c>
      <c r="L106" s="12">
        <v>1</v>
      </c>
      <c r="M106" s="12">
        <v>1</v>
      </c>
      <c r="N106" s="13">
        <v>0</v>
      </c>
    </row>
    <row r="107" spans="1:14">
      <c r="A107" s="11">
        <v>4950000</v>
      </c>
      <c r="B107" s="12">
        <v>4550</v>
      </c>
      <c r="C107" s="12">
        <v>3</v>
      </c>
      <c r="D107" s="12">
        <v>2</v>
      </c>
      <c r="E107" s="12">
        <v>2</v>
      </c>
      <c r="F107" s="12">
        <v>1</v>
      </c>
      <c r="G107" s="12">
        <v>0</v>
      </c>
      <c r="H107" s="12">
        <v>0</v>
      </c>
      <c r="I107" s="12">
        <v>0</v>
      </c>
      <c r="J107" s="12">
        <v>1</v>
      </c>
      <c r="K107" s="12">
        <v>2</v>
      </c>
      <c r="L107" s="12">
        <v>0</v>
      </c>
      <c r="M107" s="12">
        <v>0</v>
      </c>
      <c r="N107" s="13">
        <v>1</v>
      </c>
    </row>
    <row r="108" spans="1:14">
      <c r="A108" s="11">
        <v>6400000</v>
      </c>
      <c r="B108" s="12">
        <v>6000</v>
      </c>
      <c r="C108" s="12">
        <v>4</v>
      </c>
      <c r="D108" s="12">
        <v>3</v>
      </c>
      <c r="E108" s="12">
        <v>2</v>
      </c>
      <c r="F108" s="12">
        <v>1</v>
      </c>
      <c r="G108" s="12">
        <v>1</v>
      </c>
      <c r="H108" s="12">
        <v>0</v>
      </c>
      <c r="I108" s="12">
        <v>0</v>
      </c>
      <c r="J108" s="12">
        <v>1</v>
      </c>
      <c r="K108" s="12">
        <v>2</v>
      </c>
      <c r="L108" s="12">
        <v>1</v>
      </c>
      <c r="M108" s="12">
        <v>1</v>
      </c>
      <c r="N108" s="13">
        <v>0</v>
      </c>
    </row>
    <row r="109" spans="1:14">
      <c r="A109" s="11">
        <v>5200000</v>
      </c>
      <c r="B109" s="12">
        <v>4850</v>
      </c>
      <c r="C109" s="12">
        <v>3</v>
      </c>
      <c r="D109" s="12">
        <v>2</v>
      </c>
      <c r="E109" s="12">
        <v>2</v>
      </c>
      <c r="F109" s="12">
        <v>1</v>
      </c>
      <c r="G109" s="12">
        <v>0</v>
      </c>
      <c r="H109" s="12">
        <v>1</v>
      </c>
      <c r="I109" s="12">
        <v>0</v>
      </c>
      <c r="J109" s="12">
        <v>1</v>
      </c>
      <c r="K109" s="12">
        <v>2</v>
      </c>
      <c r="L109" s="12">
        <v>0</v>
      </c>
      <c r="M109" s="12">
        <v>0</v>
      </c>
      <c r="N109" s="13">
        <v>1</v>
      </c>
    </row>
    <row r="110" spans="1:14">
      <c r="A110" s="11">
        <v>4100000</v>
      </c>
      <c r="B110" s="12">
        <v>3550</v>
      </c>
      <c r="C110" s="12">
        <v>2</v>
      </c>
      <c r="D110" s="12">
        <v>1</v>
      </c>
      <c r="E110" s="12">
        <v>1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1</v>
      </c>
      <c r="L110" s="12">
        <v>0</v>
      </c>
      <c r="M110" s="12">
        <v>0</v>
      </c>
      <c r="N110" s="13">
        <v>0</v>
      </c>
    </row>
    <row r="111" spans="1:14">
      <c r="A111" s="11">
        <v>7700000</v>
      </c>
      <c r="B111" s="12">
        <v>7050</v>
      </c>
      <c r="C111" s="12">
        <v>5</v>
      </c>
      <c r="D111" s="12">
        <v>3</v>
      </c>
      <c r="E111" s="12">
        <v>3</v>
      </c>
      <c r="F111" s="12">
        <v>1</v>
      </c>
      <c r="G111" s="12">
        <v>1</v>
      </c>
      <c r="H111" s="12">
        <v>1</v>
      </c>
      <c r="I111" s="12">
        <v>0</v>
      </c>
      <c r="J111" s="12">
        <v>1</v>
      </c>
      <c r="K111" s="12">
        <v>3</v>
      </c>
      <c r="L111" s="12">
        <v>1</v>
      </c>
      <c r="M111" s="12">
        <v>1</v>
      </c>
      <c r="N111" s="13">
        <v>0</v>
      </c>
    </row>
    <row r="112" spans="1:14">
      <c r="A112" s="11">
        <v>5050000</v>
      </c>
      <c r="B112" s="12">
        <v>4650</v>
      </c>
      <c r="C112" s="12">
        <v>3</v>
      </c>
      <c r="D112" s="12">
        <v>2</v>
      </c>
      <c r="E112" s="12">
        <v>2</v>
      </c>
      <c r="F112" s="12">
        <v>1</v>
      </c>
      <c r="G112" s="12">
        <v>0</v>
      </c>
      <c r="H112" s="12">
        <v>0</v>
      </c>
      <c r="I112" s="12">
        <v>0</v>
      </c>
      <c r="J112" s="12">
        <v>1</v>
      </c>
      <c r="K112" s="12">
        <v>2</v>
      </c>
      <c r="L112" s="12">
        <v>0</v>
      </c>
      <c r="M112" s="12">
        <v>0</v>
      </c>
      <c r="N112" s="13">
        <v>1</v>
      </c>
    </row>
    <row r="113" spans="1:14">
      <c r="A113" s="11">
        <v>5950000</v>
      </c>
      <c r="B113" s="12">
        <v>5550</v>
      </c>
      <c r="C113" s="12">
        <v>4</v>
      </c>
      <c r="D113" s="12">
        <v>3</v>
      </c>
      <c r="E113" s="12">
        <v>2</v>
      </c>
      <c r="F113" s="12">
        <v>1</v>
      </c>
      <c r="G113" s="12">
        <v>1</v>
      </c>
      <c r="H113" s="12">
        <v>0</v>
      </c>
      <c r="I113" s="12">
        <v>0</v>
      </c>
      <c r="J113" s="12">
        <v>1</v>
      </c>
      <c r="K113" s="12">
        <v>2</v>
      </c>
      <c r="L113" s="12">
        <v>1</v>
      </c>
      <c r="M113" s="12">
        <v>1</v>
      </c>
      <c r="N113" s="13">
        <v>0</v>
      </c>
    </row>
    <row r="114" spans="1:14">
      <c r="A114" s="11">
        <v>3750000</v>
      </c>
      <c r="B114" s="12">
        <v>3300</v>
      </c>
      <c r="C114" s="12">
        <v>2</v>
      </c>
      <c r="D114" s="12">
        <v>1</v>
      </c>
      <c r="E114" s="12">
        <v>1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1</v>
      </c>
      <c r="L114" s="12">
        <v>0</v>
      </c>
      <c r="M114" s="12">
        <v>0</v>
      </c>
      <c r="N114" s="13">
        <v>0</v>
      </c>
    </row>
    <row r="115" spans="1:14">
      <c r="A115" s="11">
        <v>7150000</v>
      </c>
      <c r="B115" s="12">
        <v>6500</v>
      </c>
      <c r="C115" s="12">
        <v>5</v>
      </c>
      <c r="D115" s="12">
        <v>3</v>
      </c>
      <c r="E115" s="12">
        <v>3</v>
      </c>
      <c r="F115" s="12">
        <v>1</v>
      </c>
      <c r="G115" s="12">
        <v>1</v>
      </c>
      <c r="H115" s="12">
        <v>1</v>
      </c>
      <c r="I115" s="12">
        <v>0</v>
      </c>
      <c r="J115" s="12">
        <v>1</v>
      </c>
      <c r="K115" s="12">
        <v>3</v>
      </c>
      <c r="L115" s="12">
        <v>1</v>
      </c>
      <c r="M115" s="12">
        <v>1</v>
      </c>
      <c r="N115" s="13">
        <v>0</v>
      </c>
    </row>
    <row r="116" spans="1:14">
      <c r="A116" s="11">
        <v>4850000</v>
      </c>
      <c r="B116" s="12">
        <v>4450</v>
      </c>
      <c r="C116" s="12">
        <v>3</v>
      </c>
      <c r="D116" s="12">
        <v>2</v>
      </c>
      <c r="E116" s="12">
        <v>2</v>
      </c>
      <c r="F116" s="12">
        <v>1</v>
      </c>
      <c r="G116" s="12">
        <v>0</v>
      </c>
      <c r="H116" s="12">
        <v>1</v>
      </c>
      <c r="I116" s="12">
        <v>0</v>
      </c>
      <c r="J116" s="12">
        <v>1</v>
      </c>
      <c r="K116" s="12">
        <v>2</v>
      </c>
      <c r="L116" s="12">
        <v>0</v>
      </c>
      <c r="M116" s="12">
        <v>0</v>
      </c>
      <c r="N116" s="13">
        <v>1</v>
      </c>
    </row>
    <row r="117" spans="1:14">
      <c r="A117" s="11">
        <v>6650000</v>
      </c>
      <c r="B117" s="12">
        <v>6150</v>
      </c>
      <c r="C117" s="12">
        <v>4</v>
      </c>
      <c r="D117" s="12">
        <v>3</v>
      </c>
      <c r="E117" s="12">
        <v>2</v>
      </c>
      <c r="F117" s="12">
        <v>1</v>
      </c>
      <c r="G117" s="12">
        <v>1</v>
      </c>
      <c r="H117" s="12">
        <v>0</v>
      </c>
      <c r="I117" s="12">
        <v>0</v>
      </c>
      <c r="J117" s="12">
        <v>1</v>
      </c>
      <c r="K117" s="12">
        <v>2</v>
      </c>
      <c r="L117" s="12">
        <v>1</v>
      </c>
      <c r="M117" s="12">
        <v>1</v>
      </c>
      <c r="N117" s="13">
        <v>0</v>
      </c>
    </row>
    <row r="118" spans="1:14">
      <c r="A118" s="11">
        <v>4550000</v>
      </c>
      <c r="B118" s="12">
        <v>4250</v>
      </c>
      <c r="C118" s="12">
        <v>3</v>
      </c>
      <c r="D118" s="12">
        <v>2</v>
      </c>
      <c r="E118" s="12">
        <v>2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2</v>
      </c>
      <c r="L118" s="12">
        <v>0</v>
      </c>
      <c r="M118" s="12">
        <v>0</v>
      </c>
      <c r="N118" s="13">
        <v>0</v>
      </c>
    </row>
    <row r="119" spans="1:14">
      <c r="A119" s="11">
        <v>3500000</v>
      </c>
      <c r="B119" s="12">
        <v>2950</v>
      </c>
      <c r="C119" s="12">
        <v>2</v>
      </c>
      <c r="D119" s="12">
        <v>1</v>
      </c>
      <c r="E119" s="12">
        <v>1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1</v>
      </c>
      <c r="L119" s="12">
        <v>0</v>
      </c>
      <c r="M119" s="12">
        <v>0</v>
      </c>
      <c r="N119" s="13">
        <v>0</v>
      </c>
    </row>
    <row r="120" spans="1:14">
      <c r="A120" s="11">
        <v>8350000</v>
      </c>
      <c r="B120" s="12">
        <v>7600</v>
      </c>
      <c r="C120" s="12">
        <v>5</v>
      </c>
      <c r="D120" s="12">
        <v>4</v>
      </c>
      <c r="E120" s="12">
        <v>3</v>
      </c>
      <c r="F120" s="12">
        <v>1</v>
      </c>
      <c r="G120" s="12">
        <v>1</v>
      </c>
      <c r="H120" s="12">
        <v>1</v>
      </c>
      <c r="I120" s="12">
        <v>0</v>
      </c>
      <c r="J120" s="12">
        <v>1</v>
      </c>
      <c r="K120" s="12">
        <v>3</v>
      </c>
      <c r="L120" s="12">
        <v>1</v>
      </c>
      <c r="M120" s="12">
        <v>1</v>
      </c>
      <c r="N120" s="13">
        <v>0</v>
      </c>
    </row>
    <row r="121" spans="1:14">
      <c r="A121" s="11">
        <v>5400000</v>
      </c>
      <c r="B121" s="12">
        <v>5050</v>
      </c>
      <c r="C121" s="12">
        <v>3</v>
      </c>
      <c r="D121" s="12">
        <v>2</v>
      </c>
      <c r="E121" s="12">
        <v>2</v>
      </c>
      <c r="F121" s="12">
        <v>1</v>
      </c>
      <c r="G121" s="12">
        <v>0</v>
      </c>
      <c r="H121" s="12">
        <v>0</v>
      </c>
      <c r="I121" s="12">
        <v>0</v>
      </c>
      <c r="J121" s="12">
        <v>1</v>
      </c>
      <c r="K121" s="12">
        <v>2</v>
      </c>
      <c r="L121" s="12">
        <v>0</v>
      </c>
      <c r="M121" s="12">
        <v>0</v>
      </c>
      <c r="N121" s="13">
        <v>1</v>
      </c>
    </row>
    <row r="122" spans="1:14">
      <c r="A122" s="11">
        <v>4250000</v>
      </c>
      <c r="B122" s="12">
        <v>3900</v>
      </c>
      <c r="C122" s="12">
        <v>3</v>
      </c>
      <c r="D122" s="12">
        <v>2</v>
      </c>
      <c r="E122" s="12">
        <v>1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1</v>
      </c>
      <c r="L122" s="12">
        <v>0</v>
      </c>
      <c r="M122" s="12">
        <v>0</v>
      </c>
      <c r="N122" s="13">
        <v>0</v>
      </c>
    </row>
    <row r="123" spans="1:14">
      <c r="A123" s="11">
        <v>6450000</v>
      </c>
      <c r="B123" s="12">
        <v>5950</v>
      </c>
      <c r="C123" s="12">
        <v>4</v>
      </c>
      <c r="D123" s="12">
        <v>3</v>
      </c>
      <c r="E123" s="12">
        <v>2</v>
      </c>
      <c r="F123" s="12">
        <v>1</v>
      </c>
      <c r="G123" s="12">
        <v>1</v>
      </c>
      <c r="H123" s="12">
        <v>0</v>
      </c>
      <c r="I123" s="12">
        <v>0</v>
      </c>
      <c r="J123" s="12">
        <v>1</v>
      </c>
      <c r="K123" s="12">
        <v>2</v>
      </c>
      <c r="L123" s="12">
        <v>1</v>
      </c>
      <c r="M123" s="12">
        <v>1</v>
      </c>
      <c r="N123" s="13">
        <v>0</v>
      </c>
    </row>
    <row r="124" spans="1:14">
      <c r="A124" s="11">
        <v>5600000</v>
      </c>
      <c r="B124" s="12">
        <v>5250</v>
      </c>
      <c r="C124" s="12">
        <v>4</v>
      </c>
      <c r="D124" s="12">
        <v>2</v>
      </c>
      <c r="E124" s="12">
        <v>2</v>
      </c>
      <c r="F124" s="12">
        <v>1</v>
      </c>
      <c r="G124" s="12">
        <v>0</v>
      </c>
      <c r="H124" s="12">
        <v>1</v>
      </c>
      <c r="I124" s="12">
        <v>0</v>
      </c>
      <c r="J124" s="12">
        <v>1</v>
      </c>
      <c r="K124" s="12">
        <v>2</v>
      </c>
      <c r="L124" s="12">
        <v>0</v>
      </c>
      <c r="M124" s="12">
        <v>0</v>
      </c>
      <c r="N124" s="13">
        <v>1</v>
      </c>
    </row>
    <row r="125" spans="1:14">
      <c r="A125" s="11">
        <v>4750000</v>
      </c>
      <c r="B125" s="12">
        <v>4400</v>
      </c>
      <c r="C125" s="12">
        <v>3</v>
      </c>
      <c r="D125" s="12">
        <v>2</v>
      </c>
      <c r="E125" s="12">
        <v>2</v>
      </c>
      <c r="F125" s="12">
        <v>1</v>
      </c>
      <c r="G125" s="12">
        <v>0</v>
      </c>
      <c r="H125" s="12">
        <v>0</v>
      </c>
      <c r="I125" s="12">
        <v>0</v>
      </c>
      <c r="J125" s="12">
        <v>0</v>
      </c>
      <c r="K125" s="12">
        <v>2</v>
      </c>
      <c r="L125" s="12">
        <v>0</v>
      </c>
      <c r="M125" s="12">
        <v>0</v>
      </c>
      <c r="N125" s="13">
        <v>1</v>
      </c>
    </row>
    <row r="126" spans="1:14">
      <c r="A126" s="11">
        <v>7450000</v>
      </c>
      <c r="B126" s="12">
        <v>6800</v>
      </c>
      <c r="C126" s="12">
        <v>5</v>
      </c>
      <c r="D126" s="12">
        <v>3</v>
      </c>
      <c r="E126" s="12">
        <v>3</v>
      </c>
      <c r="F126" s="12">
        <v>1</v>
      </c>
      <c r="G126" s="12">
        <v>1</v>
      </c>
      <c r="H126" s="12">
        <v>1</v>
      </c>
      <c r="I126" s="12">
        <v>0</v>
      </c>
      <c r="J126" s="12">
        <v>1</v>
      </c>
      <c r="K126" s="12">
        <v>3</v>
      </c>
      <c r="L126" s="12">
        <v>1</v>
      </c>
      <c r="M126" s="12">
        <v>1</v>
      </c>
      <c r="N126" s="13">
        <v>0</v>
      </c>
    </row>
    <row r="127" spans="1:14">
      <c r="A127" s="11">
        <v>4050000</v>
      </c>
      <c r="B127" s="12">
        <v>3650</v>
      </c>
      <c r="C127" s="12">
        <v>3</v>
      </c>
      <c r="D127" s="12">
        <v>2</v>
      </c>
      <c r="E127" s="12">
        <v>1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1</v>
      </c>
      <c r="L127" s="12">
        <v>0</v>
      </c>
      <c r="M127" s="12">
        <v>0</v>
      </c>
      <c r="N127" s="13">
        <v>0</v>
      </c>
    </row>
    <row r="128" spans="1:14">
      <c r="A128" s="11">
        <v>6850000</v>
      </c>
      <c r="B128" s="12">
        <v>6250</v>
      </c>
      <c r="C128" s="12">
        <v>4</v>
      </c>
      <c r="D128" s="12">
        <v>3</v>
      </c>
      <c r="E128" s="12">
        <v>2</v>
      </c>
      <c r="F128" s="12">
        <v>1</v>
      </c>
      <c r="G128" s="12">
        <v>1</v>
      </c>
      <c r="H128" s="12">
        <v>0</v>
      </c>
      <c r="I128" s="12">
        <v>0</v>
      </c>
      <c r="J128" s="12">
        <v>1</v>
      </c>
      <c r="K128" s="12">
        <v>2</v>
      </c>
      <c r="L128" s="12">
        <v>1</v>
      </c>
      <c r="M128" s="12">
        <v>1</v>
      </c>
      <c r="N128" s="13">
        <v>0</v>
      </c>
    </row>
    <row r="129" spans="1:14">
      <c r="A129" s="11">
        <v>5750000</v>
      </c>
      <c r="B129" s="12">
        <v>5400</v>
      </c>
      <c r="C129" s="12">
        <v>4</v>
      </c>
      <c r="D129" s="12">
        <v>2</v>
      </c>
      <c r="E129" s="12">
        <v>2</v>
      </c>
      <c r="F129" s="12">
        <v>1</v>
      </c>
      <c r="G129" s="12">
        <v>0</v>
      </c>
      <c r="H129" s="12">
        <v>1</v>
      </c>
      <c r="I129" s="12">
        <v>0</v>
      </c>
      <c r="J129" s="12">
        <v>1</v>
      </c>
      <c r="K129" s="12">
        <v>2</v>
      </c>
      <c r="L129" s="12">
        <v>0</v>
      </c>
      <c r="M129" s="12">
        <v>0</v>
      </c>
      <c r="N129" s="13">
        <v>1</v>
      </c>
    </row>
    <row r="130" spans="1:14">
      <c r="A130" s="11">
        <v>3650000</v>
      </c>
      <c r="B130" s="12">
        <v>3150</v>
      </c>
      <c r="C130" s="12">
        <v>2</v>
      </c>
      <c r="D130" s="12">
        <v>1</v>
      </c>
      <c r="E130" s="12">
        <v>1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1</v>
      </c>
      <c r="L130" s="12">
        <v>0</v>
      </c>
      <c r="M130" s="12">
        <v>0</v>
      </c>
      <c r="N130" s="13">
        <v>0</v>
      </c>
    </row>
    <row r="131" spans="1:14">
      <c r="A131" s="11">
        <v>8600000</v>
      </c>
      <c r="B131" s="12">
        <v>7900</v>
      </c>
      <c r="C131" s="12">
        <v>5</v>
      </c>
      <c r="D131" s="12">
        <v>4</v>
      </c>
      <c r="E131" s="12">
        <v>3</v>
      </c>
      <c r="F131" s="12">
        <v>1</v>
      </c>
      <c r="G131" s="12">
        <v>1</v>
      </c>
      <c r="H131" s="12">
        <v>1</v>
      </c>
      <c r="I131" s="12">
        <v>0</v>
      </c>
      <c r="J131" s="12">
        <v>1</v>
      </c>
      <c r="K131" s="12">
        <v>3</v>
      </c>
      <c r="L131" s="12">
        <v>1</v>
      </c>
      <c r="M131" s="12">
        <v>1</v>
      </c>
      <c r="N131" s="13">
        <v>0</v>
      </c>
    </row>
    <row r="132" spans="1:14">
      <c r="A132" s="11">
        <v>27500000</v>
      </c>
      <c r="B132" s="12">
        <v>9900</v>
      </c>
      <c r="C132" s="12">
        <v>6</v>
      </c>
      <c r="D132" s="12">
        <v>5</v>
      </c>
      <c r="E132" s="12">
        <v>4</v>
      </c>
      <c r="F132" s="12">
        <v>1</v>
      </c>
      <c r="G132" s="12">
        <v>1</v>
      </c>
      <c r="H132" s="12">
        <v>1</v>
      </c>
      <c r="I132" s="12">
        <v>1</v>
      </c>
      <c r="J132" s="12">
        <v>1</v>
      </c>
      <c r="K132" s="12">
        <v>4</v>
      </c>
      <c r="L132" s="12">
        <v>1</v>
      </c>
      <c r="M132" s="12">
        <v>1</v>
      </c>
      <c r="N132" s="13">
        <v>0</v>
      </c>
    </row>
    <row r="133" spans="1:14">
      <c r="A133" s="11">
        <v>38500000</v>
      </c>
      <c r="B133" s="12">
        <v>12500</v>
      </c>
      <c r="C133" s="12">
        <v>7</v>
      </c>
      <c r="D133" s="12">
        <v>6</v>
      </c>
      <c r="E133" s="12">
        <v>5</v>
      </c>
      <c r="F133" s="12">
        <v>1</v>
      </c>
      <c r="G133" s="12">
        <v>1</v>
      </c>
      <c r="H133" s="12">
        <v>1</v>
      </c>
      <c r="I133" s="12">
        <v>1</v>
      </c>
      <c r="J133" s="12">
        <v>1</v>
      </c>
      <c r="K133" s="12">
        <v>5</v>
      </c>
      <c r="L133" s="12">
        <v>1</v>
      </c>
      <c r="M133" s="12">
        <v>1</v>
      </c>
      <c r="N133" s="13">
        <v>0</v>
      </c>
    </row>
    <row r="134" spans="1:14">
      <c r="A134" s="11">
        <v>49500000</v>
      </c>
      <c r="B134" s="12">
        <v>16000</v>
      </c>
      <c r="C134" s="12">
        <v>8</v>
      </c>
      <c r="D134" s="12">
        <v>7</v>
      </c>
      <c r="E134" s="12">
        <v>6</v>
      </c>
      <c r="F134" s="12">
        <v>1</v>
      </c>
      <c r="G134" s="12">
        <v>1</v>
      </c>
      <c r="H134" s="12">
        <v>1</v>
      </c>
      <c r="I134" s="12">
        <v>1</v>
      </c>
      <c r="J134" s="12">
        <v>1</v>
      </c>
      <c r="K134" s="12">
        <v>6</v>
      </c>
      <c r="L134" s="12">
        <v>1</v>
      </c>
      <c r="M134" s="12">
        <v>1</v>
      </c>
      <c r="N134" s="13">
        <v>0</v>
      </c>
    </row>
    <row r="135" spans="1:14">
      <c r="A135" s="11">
        <v>61000000</v>
      </c>
      <c r="B135" s="12">
        <v>20000</v>
      </c>
      <c r="C135" s="12">
        <v>9</v>
      </c>
      <c r="D135" s="12">
        <v>8</v>
      </c>
      <c r="E135" s="12">
        <v>7</v>
      </c>
      <c r="F135" s="12">
        <v>1</v>
      </c>
      <c r="G135" s="12">
        <v>1</v>
      </c>
      <c r="H135" s="12">
        <v>1</v>
      </c>
      <c r="I135" s="12">
        <v>1</v>
      </c>
      <c r="J135" s="12">
        <v>1</v>
      </c>
      <c r="K135" s="12">
        <v>8</v>
      </c>
      <c r="L135" s="12">
        <v>1</v>
      </c>
      <c r="M135" s="12">
        <v>1</v>
      </c>
      <c r="N135" s="13">
        <v>0</v>
      </c>
    </row>
    <row r="136" spans="1:14">
      <c r="A136" s="11">
        <v>72500000</v>
      </c>
      <c r="B136" s="12">
        <v>24500</v>
      </c>
      <c r="C136" s="12">
        <v>10</v>
      </c>
      <c r="D136" s="12">
        <v>9</v>
      </c>
      <c r="E136" s="12">
        <v>8</v>
      </c>
      <c r="F136" s="12">
        <v>1</v>
      </c>
      <c r="G136" s="12">
        <v>1</v>
      </c>
      <c r="H136" s="12">
        <v>1</v>
      </c>
      <c r="I136" s="12">
        <v>1</v>
      </c>
      <c r="J136" s="12">
        <v>1</v>
      </c>
      <c r="K136" s="12">
        <v>10</v>
      </c>
      <c r="L136" s="12">
        <v>1</v>
      </c>
      <c r="M136" s="12">
        <v>1</v>
      </c>
      <c r="N136" s="13">
        <v>0</v>
      </c>
    </row>
    <row r="137" spans="1:14">
      <c r="A137" s="11">
        <v>5150000</v>
      </c>
      <c r="B137" s="12">
        <v>4700</v>
      </c>
      <c r="C137" s="12">
        <v>3</v>
      </c>
      <c r="D137" s="12">
        <v>2</v>
      </c>
      <c r="E137" s="12">
        <v>2</v>
      </c>
      <c r="F137" s="12">
        <v>1</v>
      </c>
      <c r="G137" s="12">
        <v>0</v>
      </c>
      <c r="H137" s="12">
        <v>0</v>
      </c>
      <c r="I137" s="12">
        <v>0</v>
      </c>
      <c r="J137" s="12">
        <v>1</v>
      </c>
      <c r="K137" s="12">
        <v>2</v>
      </c>
      <c r="L137" s="12">
        <v>0</v>
      </c>
      <c r="M137" s="12">
        <v>0</v>
      </c>
      <c r="N137" s="13">
        <v>1</v>
      </c>
    </row>
    <row r="138" spans="1:14">
      <c r="A138" s="11">
        <v>6050000</v>
      </c>
      <c r="B138" s="12">
        <v>5650</v>
      </c>
      <c r="C138" s="12">
        <v>4</v>
      </c>
      <c r="D138" s="12">
        <v>3</v>
      </c>
      <c r="E138" s="12">
        <v>2</v>
      </c>
      <c r="F138" s="12">
        <v>1</v>
      </c>
      <c r="G138" s="12">
        <v>1</v>
      </c>
      <c r="H138" s="12">
        <v>0</v>
      </c>
      <c r="I138" s="12">
        <v>0</v>
      </c>
      <c r="J138" s="12">
        <v>1</v>
      </c>
      <c r="K138" s="12">
        <v>2</v>
      </c>
      <c r="L138" s="12">
        <v>1</v>
      </c>
      <c r="M138" s="12">
        <v>1</v>
      </c>
      <c r="N138" s="13">
        <v>0</v>
      </c>
    </row>
    <row r="139" spans="1:14">
      <c r="A139" s="11">
        <v>4450000</v>
      </c>
      <c r="B139" s="12">
        <v>4100</v>
      </c>
      <c r="C139" s="12">
        <v>3</v>
      </c>
      <c r="D139" s="12">
        <v>2</v>
      </c>
      <c r="E139" s="12">
        <v>1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2</v>
      </c>
      <c r="L139" s="12">
        <v>0</v>
      </c>
      <c r="M139" s="12">
        <v>0</v>
      </c>
      <c r="N139" s="13">
        <v>0</v>
      </c>
    </row>
    <row r="140" spans="1:14">
      <c r="A140" s="11">
        <v>7850000</v>
      </c>
      <c r="B140" s="12">
        <v>7150</v>
      </c>
      <c r="C140" s="12">
        <v>5</v>
      </c>
      <c r="D140" s="12">
        <v>3</v>
      </c>
      <c r="E140" s="12">
        <v>3</v>
      </c>
      <c r="F140" s="12">
        <v>1</v>
      </c>
      <c r="G140" s="12">
        <v>1</v>
      </c>
      <c r="H140" s="12">
        <v>1</v>
      </c>
      <c r="I140" s="12">
        <v>0</v>
      </c>
      <c r="J140" s="12">
        <v>1</v>
      </c>
      <c r="K140" s="12">
        <v>3</v>
      </c>
      <c r="L140" s="12">
        <v>1</v>
      </c>
      <c r="M140" s="12">
        <v>1</v>
      </c>
      <c r="N140" s="13">
        <v>0</v>
      </c>
    </row>
    <row r="141" spans="1:14">
      <c r="A141" s="11">
        <v>5550000</v>
      </c>
      <c r="B141" s="12">
        <v>5150</v>
      </c>
      <c r="C141" s="12">
        <v>4</v>
      </c>
      <c r="D141" s="12">
        <v>2</v>
      </c>
      <c r="E141" s="12">
        <v>2</v>
      </c>
      <c r="F141" s="12">
        <v>1</v>
      </c>
      <c r="G141" s="12">
        <v>0</v>
      </c>
      <c r="H141" s="12">
        <v>1</v>
      </c>
      <c r="I141" s="12">
        <v>0</v>
      </c>
      <c r="J141" s="12">
        <v>1</v>
      </c>
      <c r="K141" s="12">
        <v>2</v>
      </c>
      <c r="L141" s="12">
        <v>0</v>
      </c>
      <c r="M141" s="12">
        <v>0</v>
      </c>
      <c r="N141" s="13">
        <v>1</v>
      </c>
    </row>
    <row r="142" spans="1:14">
      <c r="A142" s="11">
        <v>4950000</v>
      </c>
      <c r="B142" s="12">
        <v>4550</v>
      </c>
      <c r="C142" s="12">
        <v>3</v>
      </c>
      <c r="D142" s="12">
        <v>2</v>
      </c>
      <c r="E142" s="12">
        <v>2</v>
      </c>
      <c r="F142" s="12">
        <v>1</v>
      </c>
      <c r="G142" s="12">
        <v>0</v>
      </c>
      <c r="H142" s="12">
        <v>0</v>
      </c>
      <c r="I142" s="12">
        <v>0</v>
      </c>
      <c r="J142" s="12">
        <v>1</v>
      </c>
      <c r="K142" s="12">
        <v>2</v>
      </c>
      <c r="L142" s="12">
        <v>0</v>
      </c>
      <c r="M142" s="12">
        <v>0</v>
      </c>
      <c r="N142" s="13">
        <v>1</v>
      </c>
    </row>
    <row r="143" spans="1:14">
      <c r="A143" s="11">
        <v>5750000</v>
      </c>
      <c r="B143" s="12">
        <v>5400</v>
      </c>
      <c r="C143" s="12">
        <v>4</v>
      </c>
      <c r="D143" s="12">
        <v>2</v>
      </c>
      <c r="E143" s="12">
        <v>2</v>
      </c>
      <c r="F143" s="12">
        <v>1</v>
      </c>
      <c r="G143" s="12">
        <v>1</v>
      </c>
      <c r="H143" s="12">
        <v>0</v>
      </c>
      <c r="I143" s="12">
        <v>0</v>
      </c>
      <c r="J143" s="12">
        <v>1</v>
      </c>
      <c r="K143" s="12">
        <v>2</v>
      </c>
      <c r="L143" s="12">
        <v>1</v>
      </c>
      <c r="M143" s="12">
        <v>1</v>
      </c>
      <c r="N143" s="13">
        <v>0</v>
      </c>
    </row>
    <row r="144" spans="1:14">
      <c r="A144" s="11">
        <v>3650000</v>
      </c>
      <c r="B144" s="12">
        <v>3200</v>
      </c>
      <c r="C144" s="12">
        <v>2</v>
      </c>
      <c r="D144" s="12">
        <v>1</v>
      </c>
      <c r="E144" s="12">
        <v>1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1</v>
      </c>
      <c r="L144" s="12">
        <v>0</v>
      </c>
      <c r="M144" s="12">
        <v>0</v>
      </c>
      <c r="N144" s="13">
        <v>0</v>
      </c>
    </row>
    <row r="145" spans="1:14">
      <c r="A145" s="11">
        <v>7050000</v>
      </c>
      <c r="B145" s="12">
        <v>6450</v>
      </c>
      <c r="C145" s="12">
        <v>5</v>
      </c>
      <c r="D145" s="12">
        <v>3</v>
      </c>
      <c r="E145" s="12">
        <v>3</v>
      </c>
      <c r="F145" s="12">
        <v>1</v>
      </c>
      <c r="G145" s="12">
        <v>1</v>
      </c>
      <c r="H145" s="12">
        <v>1</v>
      </c>
      <c r="I145" s="12">
        <v>0</v>
      </c>
      <c r="J145" s="12">
        <v>1</v>
      </c>
      <c r="K145" s="12">
        <v>3</v>
      </c>
      <c r="L145" s="12">
        <v>1</v>
      </c>
      <c r="M145" s="12">
        <v>1</v>
      </c>
      <c r="N145" s="13">
        <v>0</v>
      </c>
    </row>
    <row r="146" spans="1:14">
      <c r="A146" s="11">
        <v>5150000</v>
      </c>
      <c r="B146" s="12">
        <v>4800</v>
      </c>
      <c r="C146" s="12">
        <v>3</v>
      </c>
      <c r="D146" s="12">
        <v>2</v>
      </c>
      <c r="E146" s="12">
        <v>2</v>
      </c>
      <c r="F146" s="12">
        <v>1</v>
      </c>
      <c r="G146" s="12">
        <v>0</v>
      </c>
      <c r="H146" s="12">
        <v>1</v>
      </c>
      <c r="I146" s="12">
        <v>0</v>
      </c>
      <c r="J146" s="12">
        <v>1</v>
      </c>
      <c r="K146" s="12">
        <v>2</v>
      </c>
      <c r="L146" s="12">
        <v>0</v>
      </c>
      <c r="M146" s="12">
        <v>0</v>
      </c>
      <c r="N146" s="13">
        <v>1</v>
      </c>
    </row>
    <row r="147" spans="1:14">
      <c r="A147" s="11">
        <v>6550000</v>
      </c>
      <c r="B147" s="12">
        <v>6050</v>
      </c>
      <c r="C147" s="12">
        <v>4</v>
      </c>
      <c r="D147" s="12">
        <v>3</v>
      </c>
      <c r="E147" s="12">
        <v>2</v>
      </c>
      <c r="F147" s="12">
        <v>1</v>
      </c>
      <c r="G147" s="12">
        <v>1</v>
      </c>
      <c r="H147" s="12">
        <v>0</v>
      </c>
      <c r="I147" s="12">
        <v>0</v>
      </c>
      <c r="J147" s="12">
        <v>1</v>
      </c>
      <c r="K147" s="12">
        <v>2</v>
      </c>
      <c r="L147" s="12">
        <v>1</v>
      </c>
      <c r="M147" s="12">
        <v>1</v>
      </c>
      <c r="N147" s="13">
        <v>0</v>
      </c>
    </row>
    <row r="148" spans="1:14">
      <c r="A148" s="11">
        <v>4450000</v>
      </c>
      <c r="B148" s="12">
        <v>4100</v>
      </c>
      <c r="C148" s="12">
        <v>3</v>
      </c>
      <c r="D148" s="12">
        <v>2</v>
      </c>
      <c r="E148" s="12">
        <v>1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2</v>
      </c>
      <c r="L148" s="12">
        <v>0</v>
      </c>
      <c r="M148" s="12">
        <v>0</v>
      </c>
      <c r="N148" s="13">
        <v>0</v>
      </c>
    </row>
    <row r="149" spans="1:14">
      <c r="A149" s="11">
        <v>3850000</v>
      </c>
      <c r="B149" s="12">
        <v>3450</v>
      </c>
      <c r="C149" s="12">
        <v>2</v>
      </c>
      <c r="D149" s="12">
        <v>1</v>
      </c>
      <c r="E149" s="12">
        <v>1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1</v>
      </c>
      <c r="L149" s="12">
        <v>0</v>
      </c>
      <c r="M149" s="12">
        <v>0</v>
      </c>
      <c r="N149" s="13">
        <v>0</v>
      </c>
    </row>
    <row r="150" spans="1:14">
      <c r="A150" s="11">
        <v>8150000</v>
      </c>
      <c r="B150" s="12">
        <v>7450</v>
      </c>
      <c r="C150" s="12">
        <v>5</v>
      </c>
      <c r="D150" s="12">
        <v>4</v>
      </c>
      <c r="E150" s="12">
        <v>3</v>
      </c>
      <c r="F150" s="12">
        <v>1</v>
      </c>
      <c r="G150" s="12">
        <v>1</v>
      </c>
      <c r="H150" s="12">
        <v>1</v>
      </c>
      <c r="I150" s="12">
        <v>0</v>
      </c>
      <c r="J150" s="12">
        <v>1</v>
      </c>
      <c r="K150" s="12">
        <v>3</v>
      </c>
      <c r="L150" s="12">
        <v>1</v>
      </c>
      <c r="M150" s="12">
        <v>1</v>
      </c>
      <c r="N150" s="13">
        <v>0</v>
      </c>
    </row>
    <row r="151" spans="1:14">
      <c r="A151" s="11">
        <v>5350000</v>
      </c>
      <c r="B151" s="12">
        <v>5000</v>
      </c>
      <c r="C151" s="12">
        <v>3</v>
      </c>
      <c r="D151" s="12">
        <v>2</v>
      </c>
      <c r="E151" s="12">
        <v>2</v>
      </c>
      <c r="F151" s="12">
        <v>1</v>
      </c>
      <c r="G151" s="12">
        <v>0</v>
      </c>
      <c r="H151" s="12">
        <v>0</v>
      </c>
      <c r="I151" s="12">
        <v>0</v>
      </c>
      <c r="J151" s="12">
        <v>1</v>
      </c>
      <c r="K151" s="12">
        <v>2</v>
      </c>
      <c r="L151" s="12">
        <v>0</v>
      </c>
      <c r="M151" s="12">
        <v>0</v>
      </c>
      <c r="N151" s="13">
        <v>1</v>
      </c>
    </row>
    <row r="152" spans="1:14">
      <c r="A152" s="11">
        <v>4250000</v>
      </c>
      <c r="B152" s="12">
        <v>3950</v>
      </c>
      <c r="C152" s="12">
        <v>3</v>
      </c>
      <c r="D152" s="12">
        <v>2</v>
      </c>
      <c r="E152" s="12">
        <v>1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1</v>
      </c>
      <c r="L152" s="12">
        <v>0</v>
      </c>
      <c r="M152" s="12">
        <v>0</v>
      </c>
      <c r="N152" s="13">
        <v>0</v>
      </c>
    </row>
    <row r="153" spans="1:14">
      <c r="A153" s="11">
        <v>6250000</v>
      </c>
      <c r="B153" s="12">
        <v>5800</v>
      </c>
      <c r="C153" s="12">
        <v>4</v>
      </c>
      <c r="D153" s="12">
        <v>3</v>
      </c>
      <c r="E153" s="12">
        <v>2</v>
      </c>
      <c r="F153" s="12">
        <v>1</v>
      </c>
      <c r="G153" s="12">
        <v>1</v>
      </c>
      <c r="H153" s="12">
        <v>0</v>
      </c>
      <c r="I153" s="12">
        <v>0</v>
      </c>
      <c r="J153" s="12">
        <v>1</v>
      </c>
      <c r="K153" s="12">
        <v>2</v>
      </c>
      <c r="L153" s="12">
        <v>1</v>
      </c>
      <c r="M153" s="12">
        <v>1</v>
      </c>
      <c r="N153" s="13">
        <v>0</v>
      </c>
    </row>
    <row r="154" spans="1:14">
      <c r="A154" s="11">
        <v>5550000</v>
      </c>
      <c r="B154" s="12">
        <v>5200</v>
      </c>
      <c r="C154" s="12">
        <v>4</v>
      </c>
      <c r="D154" s="12">
        <v>2</v>
      </c>
      <c r="E154" s="12">
        <v>2</v>
      </c>
      <c r="F154" s="12">
        <v>1</v>
      </c>
      <c r="G154" s="12">
        <v>0</v>
      </c>
      <c r="H154" s="12">
        <v>1</v>
      </c>
      <c r="I154" s="12">
        <v>0</v>
      </c>
      <c r="J154" s="12">
        <v>1</v>
      </c>
      <c r="K154" s="12">
        <v>2</v>
      </c>
      <c r="L154" s="12">
        <v>0</v>
      </c>
      <c r="M154" s="12">
        <v>0</v>
      </c>
      <c r="N154" s="13">
        <v>1</v>
      </c>
    </row>
    <row r="155" spans="1:14">
      <c r="A155" s="11">
        <v>4650000</v>
      </c>
      <c r="B155" s="12">
        <v>4300</v>
      </c>
      <c r="C155" s="12">
        <v>3</v>
      </c>
      <c r="D155" s="12">
        <v>2</v>
      </c>
      <c r="E155" s="12">
        <v>2</v>
      </c>
      <c r="F155" s="12">
        <v>1</v>
      </c>
      <c r="G155" s="12">
        <v>0</v>
      </c>
      <c r="H155" s="12">
        <v>0</v>
      </c>
      <c r="I155" s="12">
        <v>0</v>
      </c>
      <c r="J155" s="12">
        <v>0</v>
      </c>
      <c r="K155" s="12">
        <v>2</v>
      </c>
      <c r="L155" s="12">
        <v>0</v>
      </c>
      <c r="M155" s="12">
        <v>0</v>
      </c>
      <c r="N155" s="13">
        <v>1</v>
      </c>
    </row>
    <row r="156" spans="1:14">
      <c r="A156" s="11">
        <v>7350000</v>
      </c>
      <c r="B156" s="12">
        <v>6700</v>
      </c>
      <c r="C156" s="12">
        <v>5</v>
      </c>
      <c r="D156" s="12">
        <v>3</v>
      </c>
      <c r="E156" s="12">
        <v>3</v>
      </c>
      <c r="F156" s="12">
        <v>1</v>
      </c>
      <c r="G156" s="12">
        <v>1</v>
      </c>
      <c r="H156" s="12">
        <v>1</v>
      </c>
      <c r="I156" s="12">
        <v>0</v>
      </c>
      <c r="J156" s="12">
        <v>1</v>
      </c>
      <c r="K156" s="12">
        <v>3</v>
      </c>
      <c r="L156" s="12">
        <v>1</v>
      </c>
      <c r="M156" s="12">
        <v>1</v>
      </c>
      <c r="N156" s="13">
        <v>0</v>
      </c>
    </row>
    <row r="157" spans="1:14">
      <c r="A157" s="11">
        <v>4150000</v>
      </c>
      <c r="B157" s="12">
        <v>3750</v>
      </c>
      <c r="C157" s="12">
        <v>3</v>
      </c>
      <c r="D157" s="12">
        <v>2</v>
      </c>
      <c r="E157" s="12">
        <v>1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1</v>
      </c>
      <c r="L157" s="12">
        <v>0</v>
      </c>
      <c r="M157" s="12">
        <v>0</v>
      </c>
      <c r="N157" s="13">
        <v>0</v>
      </c>
    </row>
    <row r="158" spans="1:14">
      <c r="A158" s="11">
        <v>6750000</v>
      </c>
      <c r="B158" s="12">
        <v>6200</v>
      </c>
      <c r="C158" s="12">
        <v>4</v>
      </c>
      <c r="D158" s="12">
        <v>3</v>
      </c>
      <c r="E158" s="12">
        <v>2</v>
      </c>
      <c r="F158" s="12">
        <v>1</v>
      </c>
      <c r="G158" s="12">
        <v>1</v>
      </c>
      <c r="H158" s="12">
        <v>0</v>
      </c>
      <c r="I158" s="12">
        <v>0</v>
      </c>
      <c r="J158" s="12">
        <v>1</v>
      </c>
      <c r="K158" s="12">
        <v>2</v>
      </c>
      <c r="L158" s="12">
        <v>1</v>
      </c>
      <c r="M158" s="12">
        <v>1</v>
      </c>
      <c r="N158" s="13">
        <v>0</v>
      </c>
    </row>
    <row r="159" spans="1:14">
      <c r="A159" s="11">
        <v>5850000</v>
      </c>
      <c r="B159" s="12">
        <v>5500</v>
      </c>
      <c r="C159" s="12">
        <v>4</v>
      </c>
      <c r="D159" s="12">
        <v>2</v>
      </c>
      <c r="E159" s="12">
        <v>2</v>
      </c>
      <c r="F159" s="12">
        <v>1</v>
      </c>
      <c r="G159" s="12">
        <v>0</v>
      </c>
      <c r="H159" s="12">
        <v>1</v>
      </c>
      <c r="I159" s="12">
        <v>0</v>
      </c>
      <c r="J159" s="12">
        <v>1</v>
      </c>
      <c r="K159" s="12">
        <v>2</v>
      </c>
      <c r="L159" s="12">
        <v>0</v>
      </c>
      <c r="M159" s="12">
        <v>0</v>
      </c>
      <c r="N159" s="13">
        <v>1</v>
      </c>
    </row>
    <row r="160" spans="1:14">
      <c r="A160" s="11">
        <v>3550000</v>
      </c>
      <c r="B160" s="12">
        <v>3050</v>
      </c>
      <c r="C160" s="12">
        <v>2</v>
      </c>
      <c r="D160" s="12">
        <v>1</v>
      </c>
      <c r="E160" s="12">
        <v>1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1</v>
      </c>
      <c r="L160" s="12">
        <v>0</v>
      </c>
      <c r="M160" s="12">
        <v>0</v>
      </c>
      <c r="N160" s="13">
        <v>0</v>
      </c>
    </row>
    <row r="161" spans="1:14">
      <c r="A161" s="11">
        <v>8450000</v>
      </c>
      <c r="B161" s="12">
        <v>7750</v>
      </c>
      <c r="C161" s="12">
        <v>5</v>
      </c>
      <c r="D161" s="12">
        <v>4</v>
      </c>
      <c r="E161" s="12">
        <v>3</v>
      </c>
      <c r="F161" s="12">
        <v>1</v>
      </c>
      <c r="G161" s="12">
        <v>1</v>
      </c>
      <c r="H161" s="12">
        <v>1</v>
      </c>
      <c r="I161" s="12">
        <v>0</v>
      </c>
      <c r="J161" s="12">
        <v>1</v>
      </c>
      <c r="K161" s="12">
        <v>3</v>
      </c>
      <c r="L161" s="12">
        <v>1</v>
      </c>
      <c r="M161" s="12">
        <v>1</v>
      </c>
      <c r="N161" s="13">
        <v>0</v>
      </c>
    </row>
    <row r="162" spans="1:14">
      <c r="A162" s="11">
        <v>29000000</v>
      </c>
      <c r="B162" s="12">
        <v>10100</v>
      </c>
      <c r="C162" s="12">
        <v>6</v>
      </c>
      <c r="D162" s="12">
        <v>5</v>
      </c>
      <c r="E162" s="12">
        <v>4</v>
      </c>
      <c r="F162" s="12">
        <v>1</v>
      </c>
      <c r="G162" s="12">
        <v>1</v>
      </c>
      <c r="H162" s="12">
        <v>1</v>
      </c>
      <c r="I162" s="12">
        <v>1</v>
      </c>
      <c r="J162" s="12">
        <v>1</v>
      </c>
      <c r="K162" s="12">
        <v>4</v>
      </c>
      <c r="L162" s="12">
        <v>1</v>
      </c>
      <c r="M162" s="12">
        <v>1</v>
      </c>
      <c r="N162" s="13">
        <v>0</v>
      </c>
    </row>
    <row r="163" spans="1:14">
      <c r="A163" s="11">
        <v>41000000</v>
      </c>
      <c r="B163" s="12">
        <v>13200</v>
      </c>
      <c r="C163" s="12">
        <v>7</v>
      </c>
      <c r="D163" s="12">
        <v>6</v>
      </c>
      <c r="E163" s="12">
        <v>5</v>
      </c>
      <c r="F163" s="12">
        <v>1</v>
      </c>
      <c r="G163" s="12">
        <v>1</v>
      </c>
      <c r="H163" s="12">
        <v>1</v>
      </c>
      <c r="I163" s="12">
        <v>1</v>
      </c>
      <c r="J163" s="12">
        <v>1</v>
      </c>
      <c r="K163" s="12">
        <v>5</v>
      </c>
      <c r="L163" s="12">
        <v>1</v>
      </c>
      <c r="M163" s="12">
        <v>1</v>
      </c>
      <c r="N163" s="13">
        <v>0</v>
      </c>
    </row>
    <row r="164" spans="1:14">
      <c r="A164" s="11">
        <v>53000000</v>
      </c>
      <c r="B164" s="12">
        <v>17200</v>
      </c>
      <c r="C164" s="12">
        <v>8</v>
      </c>
      <c r="D164" s="12">
        <v>7</v>
      </c>
      <c r="E164" s="12">
        <v>6</v>
      </c>
      <c r="F164" s="12">
        <v>1</v>
      </c>
      <c r="G164" s="12">
        <v>1</v>
      </c>
      <c r="H164" s="12">
        <v>1</v>
      </c>
      <c r="I164" s="12">
        <v>1</v>
      </c>
      <c r="J164" s="12">
        <v>1</v>
      </c>
      <c r="K164" s="12">
        <v>6</v>
      </c>
      <c r="L164" s="12">
        <v>1</v>
      </c>
      <c r="M164" s="12">
        <v>1</v>
      </c>
      <c r="N164" s="13">
        <v>0</v>
      </c>
    </row>
    <row r="165" spans="1:14">
      <c r="A165" s="11">
        <v>68000000</v>
      </c>
      <c r="B165" s="12">
        <v>22500</v>
      </c>
      <c r="C165" s="12">
        <v>9</v>
      </c>
      <c r="D165" s="12">
        <v>8</v>
      </c>
      <c r="E165" s="12">
        <v>7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8</v>
      </c>
      <c r="L165" s="12">
        <v>1</v>
      </c>
      <c r="M165" s="12">
        <v>1</v>
      </c>
      <c r="N165" s="13">
        <v>0</v>
      </c>
    </row>
    <row r="166" spans="1:14">
      <c r="A166" s="11">
        <v>82000000</v>
      </c>
      <c r="B166" s="12">
        <v>28000</v>
      </c>
      <c r="C166" s="12">
        <v>10</v>
      </c>
      <c r="D166" s="12">
        <v>9</v>
      </c>
      <c r="E166" s="12">
        <v>9</v>
      </c>
      <c r="F166" s="12">
        <v>1</v>
      </c>
      <c r="G166" s="12">
        <v>1</v>
      </c>
      <c r="H166" s="12">
        <v>1</v>
      </c>
      <c r="I166" s="12">
        <v>1</v>
      </c>
      <c r="J166" s="12">
        <v>1</v>
      </c>
      <c r="K166" s="12">
        <v>10</v>
      </c>
      <c r="L166" s="12">
        <v>1</v>
      </c>
      <c r="M166" s="12">
        <v>1</v>
      </c>
      <c r="N166" s="13">
        <v>0</v>
      </c>
    </row>
    <row r="167" spans="1:14">
      <c r="A167" s="11">
        <v>5050000</v>
      </c>
      <c r="B167" s="12">
        <v>4650</v>
      </c>
      <c r="C167" s="12">
        <v>3</v>
      </c>
      <c r="D167" s="12">
        <v>2</v>
      </c>
      <c r="E167" s="12">
        <v>2</v>
      </c>
      <c r="F167" s="12">
        <v>1</v>
      </c>
      <c r="G167" s="12">
        <v>0</v>
      </c>
      <c r="H167" s="12">
        <v>0</v>
      </c>
      <c r="I167" s="12">
        <v>0</v>
      </c>
      <c r="J167" s="12">
        <v>1</v>
      </c>
      <c r="K167" s="12">
        <v>2</v>
      </c>
      <c r="L167" s="12">
        <v>0</v>
      </c>
      <c r="M167" s="12">
        <v>0</v>
      </c>
      <c r="N167" s="13">
        <v>1</v>
      </c>
    </row>
    <row r="168" spans="1:14">
      <c r="A168" s="11">
        <v>6150000</v>
      </c>
      <c r="B168" s="12">
        <v>5750</v>
      </c>
      <c r="C168" s="12">
        <v>4</v>
      </c>
      <c r="D168" s="12">
        <v>3</v>
      </c>
      <c r="E168" s="12">
        <v>2</v>
      </c>
      <c r="F168" s="12">
        <v>1</v>
      </c>
      <c r="G168" s="12">
        <v>1</v>
      </c>
      <c r="H168" s="12">
        <v>0</v>
      </c>
      <c r="I168" s="12">
        <v>0</v>
      </c>
      <c r="J168" s="12">
        <v>1</v>
      </c>
      <c r="K168" s="12">
        <v>2</v>
      </c>
      <c r="L168" s="12">
        <v>1</v>
      </c>
      <c r="M168" s="12">
        <v>1</v>
      </c>
      <c r="N168" s="13">
        <v>0</v>
      </c>
    </row>
    <row r="169" spans="1:14">
      <c r="A169" s="11">
        <v>4550000</v>
      </c>
      <c r="B169" s="12">
        <v>4200</v>
      </c>
      <c r="C169" s="12">
        <v>3</v>
      </c>
      <c r="D169" s="12">
        <v>2</v>
      </c>
      <c r="E169" s="12">
        <v>2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2</v>
      </c>
      <c r="L169" s="12">
        <v>0</v>
      </c>
      <c r="M169" s="12">
        <v>0</v>
      </c>
      <c r="N169" s="13">
        <v>0</v>
      </c>
    </row>
    <row r="170" spans="1:14">
      <c r="A170" s="11">
        <v>7750000</v>
      </c>
      <c r="B170" s="12">
        <v>7050</v>
      </c>
      <c r="C170" s="12">
        <v>5</v>
      </c>
      <c r="D170" s="12">
        <v>3</v>
      </c>
      <c r="E170" s="12">
        <v>3</v>
      </c>
      <c r="F170" s="12">
        <v>1</v>
      </c>
      <c r="G170" s="12">
        <v>1</v>
      </c>
      <c r="H170" s="12">
        <v>1</v>
      </c>
      <c r="I170" s="12">
        <v>0</v>
      </c>
      <c r="J170" s="12">
        <v>1</v>
      </c>
      <c r="K170" s="12">
        <v>3</v>
      </c>
      <c r="L170" s="12">
        <v>1</v>
      </c>
      <c r="M170" s="12">
        <v>1</v>
      </c>
      <c r="N170" s="13">
        <v>0</v>
      </c>
    </row>
    <row r="171" spans="1:14">
      <c r="A171" s="11">
        <v>5450000</v>
      </c>
      <c r="B171" s="12">
        <v>5100</v>
      </c>
      <c r="C171" s="12">
        <v>4</v>
      </c>
      <c r="D171" s="12">
        <v>2</v>
      </c>
      <c r="E171" s="12">
        <v>2</v>
      </c>
      <c r="F171" s="12">
        <v>1</v>
      </c>
      <c r="G171" s="12">
        <v>0</v>
      </c>
      <c r="H171" s="12">
        <v>1</v>
      </c>
      <c r="I171" s="12">
        <v>0</v>
      </c>
      <c r="J171" s="12">
        <v>1</v>
      </c>
      <c r="K171" s="12">
        <v>2</v>
      </c>
      <c r="L171" s="12">
        <v>0</v>
      </c>
      <c r="M171" s="12">
        <v>0</v>
      </c>
      <c r="N171" s="13">
        <v>1</v>
      </c>
    </row>
    <row r="172" spans="1:14">
      <c r="A172" s="11">
        <v>5150000</v>
      </c>
      <c r="B172" s="12">
        <v>4750</v>
      </c>
      <c r="C172" s="12">
        <v>3</v>
      </c>
      <c r="D172" s="12">
        <v>2</v>
      </c>
      <c r="E172" s="12">
        <v>2</v>
      </c>
      <c r="F172" s="12">
        <v>1</v>
      </c>
      <c r="G172" s="12">
        <v>0</v>
      </c>
      <c r="H172" s="12">
        <v>0</v>
      </c>
      <c r="I172" s="12">
        <v>0</v>
      </c>
      <c r="J172" s="12">
        <v>1</v>
      </c>
      <c r="K172" s="12">
        <v>2</v>
      </c>
      <c r="L172" s="12">
        <v>0</v>
      </c>
      <c r="M172" s="12">
        <v>0</v>
      </c>
      <c r="N172" s="13">
        <v>1</v>
      </c>
    </row>
    <row r="173" spans="1:14">
      <c r="A173" s="11">
        <v>6050000</v>
      </c>
      <c r="B173" s="12">
        <v>5650</v>
      </c>
      <c r="C173" s="12">
        <v>4</v>
      </c>
      <c r="D173" s="12">
        <v>3</v>
      </c>
      <c r="E173" s="12">
        <v>2</v>
      </c>
      <c r="F173" s="12">
        <v>1</v>
      </c>
      <c r="G173" s="12">
        <v>1</v>
      </c>
      <c r="H173" s="12">
        <v>0</v>
      </c>
      <c r="I173" s="12">
        <v>0</v>
      </c>
      <c r="J173" s="12">
        <v>1</v>
      </c>
      <c r="K173" s="12">
        <v>2</v>
      </c>
      <c r="L173" s="12">
        <v>1</v>
      </c>
      <c r="M173" s="12">
        <v>1</v>
      </c>
      <c r="N173" s="13">
        <v>0</v>
      </c>
    </row>
    <row r="174" spans="1:14">
      <c r="A174" s="11">
        <v>3850000</v>
      </c>
      <c r="B174" s="12">
        <v>3350</v>
      </c>
      <c r="C174" s="12">
        <v>2</v>
      </c>
      <c r="D174" s="12">
        <v>1</v>
      </c>
      <c r="E174" s="12">
        <v>1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1</v>
      </c>
      <c r="L174" s="12">
        <v>0</v>
      </c>
      <c r="M174" s="12">
        <v>0</v>
      </c>
      <c r="N174" s="13">
        <v>0</v>
      </c>
    </row>
    <row r="175" spans="1:14">
      <c r="A175" s="11">
        <v>7250000</v>
      </c>
      <c r="B175" s="12">
        <v>6600</v>
      </c>
      <c r="C175" s="12">
        <v>5</v>
      </c>
      <c r="D175" s="12">
        <v>3</v>
      </c>
      <c r="E175" s="12">
        <v>3</v>
      </c>
      <c r="F175" s="12">
        <v>1</v>
      </c>
      <c r="G175" s="12">
        <v>1</v>
      </c>
      <c r="H175" s="12">
        <v>1</v>
      </c>
      <c r="I175" s="12">
        <v>0</v>
      </c>
      <c r="J175" s="12">
        <v>1</v>
      </c>
      <c r="K175" s="12">
        <v>3</v>
      </c>
      <c r="L175" s="12">
        <v>1</v>
      </c>
      <c r="M175" s="12">
        <v>1</v>
      </c>
      <c r="N175" s="13">
        <v>0</v>
      </c>
    </row>
    <row r="176" spans="1:14">
      <c r="A176" s="11">
        <v>4950000</v>
      </c>
      <c r="B176" s="12">
        <v>4550</v>
      </c>
      <c r="C176" s="12">
        <v>3</v>
      </c>
      <c r="D176" s="12">
        <v>2</v>
      </c>
      <c r="E176" s="12">
        <v>2</v>
      </c>
      <c r="F176" s="12">
        <v>1</v>
      </c>
      <c r="G176" s="12">
        <v>0</v>
      </c>
      <c r="H176" s="12">
        <v>1</v>
      </c>
      <c r="I176" s="12">
        <v>0</v>
      </c>
      <c r="J176" s="12">
        <v>1</v>
      </c>
      <c r="K176" s="12">
        <v>2</v>
      </c>
      <c r="L176" s="12">
        <v>0</v>
      </c>
      <c r="M176" s="12">
        <v>0</v>
      </c>
      <c r="N176" s="13">
        <v>1</v>
      </c>
    </row>
    <row r="177" spans="1:14">
      <c r="A177" s="11">
        <v>6750000</v>
      </c>
      <c r="B177" s="12">
        <v>6200</v>
      </c>
      <c r="C177" s="12">
        <v>4</v>
      </c>
      <c r="D177" s="12">
        <v>3</v>
      </c>
      <c r="E177" s="12">
        <v>2</v>
      </c>
      <c r="F177" s="12">
        <v>1</v>
      </c>
      <c r="G177" s="12">
        <v>1</v>
      </c>
      <c r="H177" s="12">
        <v>0</v>
      </c>
      <c r="I177" s="12">
        <v>0</v>
      </c>
      <c r="J177" s="12">
        <v>1</v>
      </c>
      <c r="K177" s="12">
        <v>2</v>
      </c>
      <c r="L177" s="12">
        <v>1</v>
      </c>
      <c r="M177" s="12">
        <v>1</v>
      </c>
      <c r="N177" s="13">
        <v>0</v>
      </c>
    </row>
    <row r="178" spans="1:14">
      <c r="A178" s="11">
        <v>4550000</v>
      </c>
      <c r="B178" s="12">
        <v>4200</v>
      </c>
      <c r="C178" s="12">
        <v>3</v>
      </c>
      <c r="D178" s="12">
        <v>2</v>
      </c>
      <c r="E178" s="12">
        <v>1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2</v>
      </c>
      <c r="L178" s="12">
        <v>0</v>
      </c>
      <c r="M178" s="12">
        <v>0</v>
      </c>
      <c r="N178" s="13">
        <v>0</v>
      </c>
    </row>
    <row r="179" spans="1:14">
      <c r="A179" s="11">
        <v>3650000</v>
      </c>
      <c r="B179" s="12">
        <v>3100</v>
      </c>
      <c r="C179" s="12">
        <v>2</v>
      </c>
      <c r="D179" s="12">
        <v>1</v>
      </c>
      <c r="E179" s="12">
        <v>1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1</v>
      </c>
      <c r="L179" s="12">
        <v>0</v>
      </c>
      <c r="M179" s="12">
        <v>0</v>
      </c>
      <c r="N179" s="13">
        <v>0</v>
      </c>
    </row>
    <row r="180" spans="1:14">
      <c r="A180" s="11">
        <v>8350000</v>
      </c>
      <c r="B180" s="12">
        <v>7600</v>
      </c>
      <c r="C180" s="12">
        <v>5</v>
      </c>
      <c r="D180" s="12">
        <v>4</v>
      </c>
      <c r="E180" s="12">
        <v>3</v>
      </c>
      <c r="F180" s="12">
        <v>1</v>
      </c>
      <c r="G180" s="12">
        <v>1</v>
      </c>
      <c r="H180" s="12">
        <v>1</v>
      </c>
      <c r="I180" s="12">
        <v>0</v>
      </c>
      <c r="J180" s="12">
        <v>1</v>
      </c>
      <c r="K180" s="12">
        <v>3</v>
      </c>
      <c r="L180" s="12">
        <v>1</v>
      </c>
      <c r="M180" s="12">
        <v>1</v>
      </c>
      <c r="N180" s="13">
        <v>0</v>
      </c>
    </row>
    <row r="181" spans="1:14">
      <c r="A181" s="11">
        <v>5450000</v>
      </c>
      <c r="B181" s="12">
        <v>5100</v>
      </c>
      <c r="C181" s="12">
        <v>3</v>
      </c>
      <c r="D181" s="12">
        <v>2</v>
      </c>
      <c r="E181" s="12">
        <v>2</v>
      </c>
      <c r="F181" s="12">
        <v>1</v>
      </c>
      <c r="G181" s="12">
        <v>0</v>
      </c>
      <c r="H181" s="12">
        <v>0</v>
      </c>
      <c r="I181" s="12">
        <v>0</v>
      </c>
      <c r="J181" s="12">
        <v>1</v>
      </c>
      <c r="K181" s="12">
        <v>2</v>
      </c>
      <c r="L181" s="12">
        <v>0</v>
      </c>
      <c r="M181" s="12">
        <v>0</v>
      </c>
      <c r="N181" s="13">
        <v>1</v>
      </c>
    </row>
    <row r="182" spans="1:14">
      <c r="A182" s="11">
        <v>4350000</v>
      </c>
      <c r="B182" s="12">
        <v>4000</v>
      </c>
      <c r="C182" s="12">
        <v>3</v>
      </c>
      <c r="D182" s="12">
        <v>2</v>
      </c>
      <c r="E182" s="12">
        <v>1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1</v>
      </c>
      <c r="L182" s="12">
        <v>0</v>
      </c>
      <c r="M182" s="12">
        <v>0</v>
      </c>
      <c r="N182" s="13">
        <v>0</v>
      </c>
    </row>
    <row r="183" spans="1:14">
      <c r="A183" s="11">
        <v>6350000</v>
      </c>
      <c r="B183" s="12">
        <v>5900</v>
      </c>
      <c r="C183" s="12">
        <v>4</v>
      </c>
      <c r="D183" s="12">
        <v>3</v>
      </c>
      <c r="E183" s="12">
        <v>2</v>
      </c>
      <c r="F183" s="12">
        <v>1</v>
      </c>
      <c r="G183" s="12">
        <v>1</v>
      </c>
      <c r="H183" s="12">
        <v>0</v>
      </c>
      <c r="I183" s="12">
        <v>0</v>
      </c>
      <c r="J183" s="12">
        <v>1</v>
      </c>
      <c r="K183" s="12">
        <v>2</v>
      </c>
      <c r="L183" s="12">
        <v>1</v>
      </c>
      <c r="M183" s="12">
        <v>1</v>
      </c>
      <c r="N183" s="13">
        <v>0</v>
      </c>
    </row>
    <row r="184" spans="1:14">
      <c r="A184" s="11">
        <v>5650000</v>
      </c>
      <c r="B184" s="12">
        <v>5300</v>
      </c>
      <c r="C184" s="12">
        <v>4</v>
      </c>
      <c r="D184" s="12">
        <v>2</v>
      </c>
      <c r="E184" s="12">
        <v>2</v>
      </c>
      <c r="F184" s="12">
        <v>1</v>
      </c>
      <c r="G184" s="12">
        <v>0</v>
      </c>
      <c r="H184" s="12">
        <v>1</v>
      </c>
      <c r="I184" s="12">
        <v>0</v>
      </c>
      <c r="J184" s="12">
        <v>1</v>
      </c>
      <c r="K184" s="12">
        <v>2</v>
      </c>
      <c r="L184" s="12">
        <v>0</v>
      </c>
      <c r="M184" s="12">
        <v>0</v>
      </c>
      <c r="N184" s="13">
        <v>1</v>
      </c>
    </row>
    <row r="185" spans="1:14">
      <c r="A185" s="11">
        <v>4750000</v>
      </c>
      <c r="B185" s="12">
        <v>4400</v>
      </c>
      <c r="C185" s="12">
        <v>3</v>
      </c>
      <c r="D185" s="12">
        <v>2</v>
      </c>
      <c r="E185" s="12">
        <v>2</v>
      </c>
      <c r="F185" s="12">
        <v>1</v>
      </c>
      <c r="G185" s="12">
        <v>0</v>
      </c>
      <c r="H185" s="12">
        <v>0</v>
      </c>
      <c r="I185" s="12">
        <v>0</v>
      </c>
      <c r="J185" s="12">
        <v>0</v>
      </c>
      <c r="K185" s="12">
        <v>2</v>
      </c>
      <c r="L185" s="12">
        <v>0</v>
      </c>
      <c r="M185" s="12">
        <v>0</v>
      </c>
      <c r="N185" s="13">
        <v>1</v>
      </c>
    </row>
    <row r="186" spans="1:14">
      <c r="A186" s="11">
        <v>7550000</v>
      </c>
      <c r="B186" s="12">
        <v>6900</v>
      </c>
      <c r="C186" s="12">
        <v>5</v>
      </c>
      <c r="D186" s="12">
        <v>3</v>
      </c>
      <c r="E186" s="12">
        <v>3</v>
      </c>
      <c r="F186" s="12">
        <v>1</v>
      </c>
      <c r="G186" s="12">
        <v>1</v>
      </c>
      <c r="H186" s="12">
        <v>1</v>
      </c>
      <c r="I186" s="12">
        <v>0</v>
      </c>
      <c r="J186" s="12">
        <v>1</v>
      </c>
      <c r="K186" s="12">
        <v>3</v>
      </c>
      <c r="L186" s="12">
        <v>1</v>
      </c>
      <c r="M186" s="12">
        <v>1</v>
      </c>
      <c r="N186" s="13">
        <v>0</v>
      </c>
    </row>
    <row r="187" spans="1:14">
      <c r="A187" s="11">
        <v>4150000</v>
      </c>
      <c r="B187" s="12">
        <v>3800</v>
      </c>
      <c r="C187" s="12">
        <v>3</v>
      </c>
      <c r="D187" s="12">
        <v>2</v>
      </c>
      <c r="E187" s="12">
        <v>1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1</v>
      </c>
      <c r="L187" s="12">
        <v>0</v>
      </c>
      <c r="M187" s="12">
        <v>0</v>
      </c>
      <c r="N187" s="13">
        <v>0</v>
      </c>
    </row>
    <row r="188" spans="1:14">
      <c r="A188" s="11">
        <v>6950000</v>
      </c>
      <c r="B188" s="12">
        <v>6350</v>
      </c>
      <c r="C188" s="12">
        <v>4</v>
      </c>
      <c r="D188" s="12">
        <v>3</v>
      </c>
      <c r="E188" s="12">
        <v>2</v>
      </c>
      <c r="F188" s="12">
        <v>1</v>
      </c>
      <c r="G188" s="12">
        <v>1</v>
      </c>
      <c r="H188" s="12">
        <v>0</v>
      </c>
      <c r="I188" s="12">
        <v>0</v>
      </c>
      <c r="J188" s="12">
        <v>1</v>
      </c>
      <c r="K188" s="12">
        <v>2</v>
      </c>
      <c r="L188" s="12">
        <v>1</v>
      </c>
      <c r="M188" s="12">
        <v>1</v>
      </c>
      <c r="N188" s="13">
        <v>0</v>
      </c>
    </row>
    <row r="189" spans="1:14">
      <c r="A189" s="11">
        <v>5850000</v>
      </c>
      <c r="B189" s="12">
        <v>5500</v>
      </c>
      <c r="C189" s="12">
        <v>4</v>
      </c>
      <c r="D189" s="12">
        <v>2</v>
      </c>
      <c r="E189" s="12">
        <v>2</v>
      </c>
      <c r="F189" s="12">
        <v>1</v>
      </c>
      <c r="G189" s="12">
        <v>0</v>
      </c>
      <c r="H189" s="12">
        <v>1</v>
      </c>
      <c r="I189" s="12">
        <v>0</v>
      </c>
      <c r="J189" s="12">
        <v>1</v>
      </c>
      <c r="K189" s="12">
        <v>2</v>
      </c>
      <c r="L189" s="12">
        <v>0</v>
      </c>
      <c r="M189" s="12">
        <v>0</v>
      </c>
      <c r="N189" s="13">
        <v>1</v>
      </c>
    </row>
    <row r="190" spans="1:14">
      <c r="A190" s="11">
        <v>3550000</v>
      </c>
      <c r="B190" s="12">
        <v>3000</v>
      </c>
      <c r="C190" s="12">
        <v>2</v>
      </c>
      <c r="D190" s="12">
        <v>1</v>
      </c>
      <c r="E190" s="12">
        <v>1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1</v>
      </c>
      <c r="L190" s="12">
        <v>0</v>
      </c>
      <c r="M190" s="12">
        <v>0</v>
      </c>
      <c r="N190" s="13">
        <v>0</v>
      </c>
    </row>
    <row r="191" spans="1:14">
      <c r="A191" s="11">
        <v>8650000</v>
      </c>
      <c r="B191" s="12">
        <v>8000</v>
      </c>
      <c r="C191" s="12">
        <v>5</v>
      </c>
      <c r="D191" s="12">
        <v>4</v>
      </c>
      <c r="E191" s="12">
        <v>3</v>
      </c>
      <c r="F191" s="12">
        <v>1</v>
      </c>
      <c r="G191" s="12">
        <v>1</v>
      </c>
      <c r="H191" s="12">
        <v>1</v>
      </c>
      <c r="I191" s="12">
        <v>0</v>
      </c>
      <c r="J191" s="12">
        <v>1</v>
      </c>
      <c r="K191" s="12">
        <v>3</v>
      </c>
      <c r="L191" s="12">
        <v>1</v>
      </c>
      <c r="M191" s="12">
        <v>1</v>
      </c>
      <c r="N191" s="13">
        <v>0</v>
      </c>
    </row>
    <row r="192" spans="1:14">
      <c r="A192" s="11">
        <v>31500000</v>
      </c>
      <c r="B192" s="12">
        <v>10800</v>
      </c>
      <c r="C192" s="12">
        <v>6</v>
      </c>
      <c r="D192" s="12">
        <v>5</v>
      </c>
      <c r="E192" s="12">
        <v>4</v>
      </c>
      <c r="F192" s="12">
        <v>1</v>
      </c>
      <c r="G192" s="12">
        <v>1</v>
      </c>
      <c r="H192" s="12">
        <v>1</v>
      </c>
      <c r="I192" s="12">
        <v>1</v>
      </c>
      <c r="J192" s="12">
        <v>1</v>
      </c>
      <c r="K192" s="12">
        <v>4</v>
      </c>
      <c r="L192" s="12">
        <v>1</v>
      </c>
      <c r="M192" s="12">
        <v>1</v>
      </c>
      <c r="N192" s="13">
        <v>0</v>
      </c>
    </row>
    <row r="193" spans="1:14">
      <c r="A193" s="11">
        <v>44500000</v>
      </c>
      <c r="B193" s="12">
        <v>13800</v>
      </c>
      <c r="C193" s="12">
        <v>7</v>
      </c>
      <c r="D193" s="12">
        <v>6</v>
      </c>
      <c r="E193" s="12">
        <v>5</v>
      </c>
      <c r="F193" s="12">
        <v>1</v>
      </c>
      <c r="G193" s="12">
        <v>1</v>
      </c>
      <c r="H193" s="12">
        <v>1</v>
      </c>
      <c r="I193" s="12">
        <v>1</v>
      </c>
      <c r="J193" s="12">
        <v>1</v>
      </c>
      <c r="K193" s="12">
        <v>5</v>
      </c>
      <c r="L193" s="12">
        <v>1</v>
      </c>
      <c r="M193" s="12">
        <v>1</v>
      </c>
      <c r="N193" s="13">
        <v>0</v>
      </c>
    </row>
    <row r="194" spans="1:14">
      <c r="A194" s="11">
        <v>56500000</v>
      </c>
      <c r="B194" s="12">
        <v>18200</v>
      </c>
      <c r="C194" s="12">
        <v>8</v>
      </c>
      <c r="D194" s="12">
        <v>7</v>
      </c>
      <c r="E194" s="12">
        <v>6</v>
      </c>
      <c r="F194" s="12">
        <v>1</v>
      </c>
      <c r="G194" s="12">
        <v>1</v>
      </c>
      <c r="H194" s="12">
        <v>1</v>
      </c>
      <c r="I194" s="12">
        <v>1</v>
      </c>
      <c r="J194" s="12">
        <v>1</v>
      </c>
      <c r="K194" s="12">
        <v>7</v>
      </c>
      <c r="L194" s="12">
        <v>1</v>
      </c>
      <c r="M194" s="12">
        <v>1</v>
      </c>
      <c r="N194" s="13">
        <v>0</v>
      </c>
    </row>
    <row r="195" spans="1:14">
      <c r="A195" s="11">
        <v>73500000</v>
      </c>
      <c r="B195" s="12">
        <v>24000</v>
      </c>
      <c r="C195" s="12">
        <v>9</v>
      </c>
      <c r="D195" s="12">
        <v>8</v>
      </c>
      <c r="E195" s="12">
        <v>8</v>
      </c>
      <c r="F195" s="12">
        <v>1</v>
      </c>
      <c r="G195" s="12">
        <v>1</v>
      </c>
      <c r="H195" s="12">
        <v>1</v>
      </c>
      <c r="I195" s="12">
        <v>1</v>
      </c>
      <c r="J195" s="12">
        <v>1</v>
      </c>
      <c r="K195" s="12">
        <v>9</v>
      </c>
      <c r="L195" s="12">
        <v>1</v>
      </c>
      <c r="M195" s="12">
        <v>1</v>
      </c>
      <c r="N195" s="13">
        <v>0</v>
      </c>
    </row>
    <row r="196" spans="1:14">
      <c r="A196" s="11">
        <v>91000000</v>
      </c>
      <c r="B196" s="12">
        <v>31000</v>
      </c>
      <c r="C196" s="12">
        <v>11</v>
      </c>
      <c r="D196" s="12">
        <v>10</v>
      </c>
      <c r="E196" s="12">
        <v>10</v>
      </c>
      <c r="F196" s="12">
        <v>1</v>
      </c>
      <c r="G196" s="12">
        <v>1</v>
      </c>
      <c r="H196" s="12">
        <v>1</v>
      </c>
      <c r="I196" s="12">
        <v>1</v>
      </c>
      <c r="J196" s="12">
        <v>1</v>
      </c>
      <c r="K196" s="12">
        <v>12</v>
      </c>
      <c r="L196" s="12">
        <v>1</v>
      </c>
      <c r="M196" s="12">
        <v>1</v>
      </c>
      <c r="N196" s="13">
        <v>0</v>
      </c>
    </row>
    <row r="197" spans="1:14">
      <c r="A197" s="11">
        <v>5250000</v>
      </c>
      <c r="B197" s="12">
        <v>4850</v>
      </c>
      <c r="C197" s="12">
        <v>3</v>
      </c>
      <c r="D197" s="12">
        <v>2</v>
      </c>
      <c r="E197" s="12">
        <v>2</v>
      </c>
      <c r="F197" s="12">
        <v>1</v>
      </c>
      <c r="G197" s="12">
        <v>0</v>
      </c>
      <c r="H197" s="12">
        <v>0</v>
      </c>
      <c r="I197" s="12">
        <v>0</v>
      </c>
      <c r="J197" s="12">
        <v>1</v>
      </c>
      <c r="K197" s="12">
        <v>2</v>
      </c>
      <c r="L197" s="12">
        <v>0</v>
      </c>
      <c r="M197" s="12">
        <v>0</v>
      </c>
      <c r="N197" s="13">
        <v>1</v>
      </c>
    </row>
    <row r="198" spans="1:14">
      <c r="A198" s="11">
        <v>6150000</v>
      </c>
      <c r="B198" s="12">
        <v>5750</v>
      </c>
      <c r="C198" s="12">
        <v>4</v>
      </c>
      <c r="D198" s="12">
        <v>3</v>
      </c>
      <c r="E198" s="12">
        <v>2</v>
      </c>
      <c r="F198" s="12">
        <v>1</v>
      </c>
      <c r="G198" s="12">
        <v>1</v>
      </c>
      <c r="H198" s="12">
        <v>0</v>
      </c>
      <c r="I198" s="12">
        <v>0</v>
      </c>
      <c r="J198" s="12">
        <v>1</v>
      </c>
      <c r="K198" s="12">
        <v>2</v>
      </c>
      <c r="L198" s="12">
        <v>1</v>
      </c>
      <c r="M198" s="12">
        <v>1</v>
      </c>
      <c r="N198" s="13">
        <v>0</v>
      </c>
    </row>
    <row r="199" spans="1:14">
      <c r="A199" s="11">
        <v>4450000</v>
      </c>
      <c r="B199" s="12">
        <v>4100</v>
      </c>
      <c r="C199" s="12">
        <v>3</v>
      </c>
      <c r="D199" s="12">
        <v>2</v>
      </c>
      <c r="E199" s="12">
        <v>1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2</v>
      </c>
      <c r="L199" s="12">
        <v>0</v>
      </c>
      <c r="M199" s="12">
        <v>0</v>
      </c>
      <c r="N199" s="13">
        <v>0</v>
      </c>
    </row>
    <row r="200" spans="1:14">
      <c r="A200" s="11">
        <v>7850000</v>
      </c>
      <c r="B200" s="12">
        <v>7200</v>
      </c>
      <c r="C200" s="12">
        <v>5</v>
      </c>
      <c r="D200" s="12">
        <v>3</v>
      </c>
      <c r="E200" s="12">
        <v>3</v>
      </c>
      <c r="F200" s="12">
        <v>1</v>
      </c>
      <c r="G200" s="12">
        <v>1</v>
      </c>
      <c r="H200" s="12">
        <v>1</v>
      </c>
      <c r="I200" s="12">
        <v>0</v>
      </c>
      <c r="J200" s="12">
        <v>1</v>
      </c>
      <c r="K200" s="12">
        <v>3</v>
      </c>
      <c r="L200" s="12">
        <v>1</v>
      </c>
      <c r="M200" s="12">
        <v>1</v>
      </c>
      <c r="N200" s="13">
        <v>0</v>
      </c>
    </row>
    <row r="201" spans="1:14">
      <c r="A201" s="14">
        <v>5550000</v>
      </c>
      <c r="B201" s="15">
        <v>5200</v>
      </c>
      <c r="C201" s="15">
        <v>4</v>
      </c>
      <c r="D201" s="15">
        <v>2</v>
      </c>
      <c r="E201" s="15">
        <v>2</v>
      </c>
      <c r="F201" s="15">
        <v>1</v>
      </c>
      <c r="G201" s="15">
        <v>0</v>
      </c>
      <c r="H201" s="15">
        <v>1</v>
      </c>
      <c r="I201" s="15">
        <v>0</v>
      </c>
      <c r="J201" s="15">
        <v>1</v>
      </c>
      <c r="K201" s="15">
        <v>2</v>
      </c>
      <c r="L201" s="15">
        <v>0</v>
      </c>
      <c r="M201" s="15">
        <v>0</v>
      </c>
      <c r="N201" s="1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F8DD-957B-4A18-9681-E72BD7E3EC9E}">
  <dimension ref="A1:S201"/>
  <sheetViews>
    <sheetView topLeftCell="A7" workbookViewId="0">
      <selection activeCell="R25" sqref="R25"/>
    </sheetView>
  </sheetViews>
  <sheetFormatPr defaultRowHeight="14.5"/>
  <cols>
    <col min="1" max="1" width="8.81640625" bestFit="1" customWidth="1"/>
    <col min="2" max="2" width="6.7265625" bestFit="1" customWidth="1"/>
    <col min="3" max="14" width="3.36328125" bestFit="1" customWidth="1"/>
    <col min="15" max="15" width="5.81640625" customWidth="1"/>
    <col min="16" max="16" width="8.81640625" bestFit="1" customWidth="1"/>
    <col min="18" max="18" width="15" customWidth="1"/>
    <col min="19" max="19" width="17.08984375" customWidth="1"/>
  </cols>
  <sheetData>
    <row r="1" spans="1:19" ht="119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18</v>
      </c>
      <c r="O1" s="19"/>
      <c r="P1" s="22" t="s">
        <v>26</v>
      </c>
    </row>
    <row r="2" spans="1:19">
      <c r="A2" s="11">
        <v>13300000</v>
      </c>
      <c r="B2" s="12">
        <v>7420</v>
      </c>
      <c r="C2" s="12">
        <v>4</v>
      </c>
      <c r="D2" s="12">
        <v>2</v>
      </c>
      <c r="E2" s="12">
        <v>3</v>
      </c>
      <c r="F2" s="12">
        <v>1</v>
      </c>
      <c r="G2" s="12">
        <v>0</v>
      </c>
      <c r="H2" s="12">
        <v>0</v>
      </c>
      <c r="I2" s="12">
        <v>0</v>
      </c>
      <c r="J2" s="12">
        <v>1</v>
      </c>
      <c r="K2" s="12">
        <v>2</v>
      </c>
      <c r="L2" s="12">
        <v>1</v>
      </c>
      <c r="M2" s="12">
        <v>1</v>
      </c>
      <c r="N2" s="13">
        <v>0</v>
      </c>
      <c r="O2" s="20"/>
      <c r="P2">
        <f>IF(AND(Table1_25[[#This Row],[price]]&gt;R$12,Table1_25[[#This Row],[price]]&lt;S$12),Table1_25[[#This Row],[price]],"")</f>
        <v>13300000</v>
      </c>
      <c r="R2" s="17" t="s">
        <v>19</v>
      </c>
      <c r="S2" s="17" t="s">
        <v>20</v>
      </c>
    </row>
    <row r="3" spans="1:19">
      <c r="A3" s="11">
        <v>16800000</v>
      </c>
      <c r="B3" s="12">
        <v>8960</v>
      </c>
      <c r="C3" s="12">
        <v>4</v>
      </c>
      <c r="D3" s="12">
        <v>4</v>
      </c>
      <c r="E3" s="12">
        <v>4</v>
      </c>
      <c r="F3" s="12">
        <v>1</v>
      </c>
      <c r="G3" s="12">
        <v>0</v>
      </c>
      <c r="H3" s="12">
        <v>0</v>
      </c>
      <c r="I3" s="12">
        <v>0</v>
      </c>
      <c r="J3" s="12">
        <v>1</v>
      </c>
      <c r="K3" s="12">
        <v>3</v>
      </c>
      <c r="L3" s="12">
        <v>0</v>
      </c>
      <c r="M3" s="12">
        <v>1</v>
      </c>
      <c r="N3" s="13">
        <v>0</v>
      </c>
      <c r="O3" s="20"/>
      <c r="P3" t="str">
        <f>IF(AND(Table1_25[[#This Row],[price]]&gt;R$12,Table1_25[[#This Row],[price]]&lt;S$12),Table1_25[[#This Row],[price]],"")</f>
        <v/>
      </c>
      <c r="R3" s="17">
        <f>MEDIAN(Table1_25[price])</f>
        <v>6075000</v>
      </c>
      <c r="S3" s="17">
        <f>AVERAGE(Table1_25[price])</f>
        <v>12267500</v>
      </c>
    </row>
    <row r="4" spans="1:19">
      <c r="A4" s="11">
        <v>14900000</v>
      </c>
      <c r="B4" s="12">
        <v>9960</v>
      </c>
      <c r="C4" s="12">
        <v>3</v>
      </c>
      <c r="D4" s="12">
        <v>2</v>
      </c>
      <c r="E4" s="12">
        <v>2</v>
      </c>
      <c r="F4" s="12">
        <v>1</v>
      </c>
      <c r="G4" s="12">
        <v>0</v>
      </c>
      <c r="H4" s="12">
        <v>1</v>
      </c>
      <c r="I4" s="12">
        <v>0</v>
      </c>
      <c r="J4" s="12">
        <v>0</v>
      </c>
      <c r="K4" s="12">
        <v>2</v>
      </c>
      <c r="L4" s="12">
        <v>1</v>
      </c>
      <c r="M4" s="12">
        <v>0</v>
      </c>
      <c r="N4" s="13">
        <v>1</v>
      </c>
      <c r="O4" s="20"/>
      <c r="P4" t="str">
        <f>IF(AND(Table1_25[[#This Row],[price]]&gt;R$12,Table1_25[[#This Row],[price]]&lt;S$12),Table1_25[[#This Row],[price]],"")</f>
        <v/>
      </c>
    </row>
    <row r="5" spans="1:19">
      <c r="A5" s="11">
        <v>13650000</v>
      </c>
      <c r="B5" s="12">
        <v>7500</v>
      </c>
      <c r="C5" s="12">
        <v>4</v>
      </c>
      <c r="D5" s="12">
        <v>2</v>
      </c>
      <c r="E5" s="12">
        <v>2</v>
      </c>
      <c r="F5" s="12">
        <v>1</v>
      </c>
      <c r="G5" s="12">
        <v>0</v>
      </c>
      <c r="H5" s="12">
        <v>1</v>
      </c>
      <c r="I5" s="12">
        <v>0</v>
      </c>
      <c r="J5" s="12">
        <v>1</v>
      </c>
      <c r="K5" s="12">
        <v>3</v>
      </c>
      <c r="L5" s="12">
        <v>1</v>
      </c>
      <c r="M5" s="12">
        <v>1</v>
      </c>
      <c r="N5" s="13">
        <v>0</v>
      </c>
      <c r="O5" s="20"/>
      <c r="P5">
        <f>IF(AND(Table1_25[[#This Row],[price]]&gt;R$12,Table1_25[[#This Row],[price]]&lt;S$12),Table1_25[[#This Row],[price]],"")</f>
        <v>13650000</v>
      </c>
      <c r="R5" s="17" t="s">
        <v>21</v>
      </c>
      <c r="S5" s="17" t="s">
        <v>22</v>
      </c>
    </row>
    <row r="6" spans="1:19">
      <c r="A6" s="11">
        <v>12200000</v>
      </c>
      <c r="B6" s="12">
        <v>7420</v>
      </c>
      <c r="C6" s="12">
        <v>4</v>
      </c>
      <c r="D6" s="12">
        <v>1</v>
      </c>
      <c r="E6" s="12">
        <v>2</v>
      </c>
      <c r="F6" s="12">
        <v>1</v>
      </c>
      <c r="G6" s="12">
        <v>1</v>
      </c>
      <c r="H6" s="12">
        <v>1</v>
      </c>
      <c r="I6" s="12">
        <v>0</v>
      </c>
      <c r="J6" s="12">
        <v>1</v>
      </c>
      <c r="K6" s="12">
        <v>2</v>
      </c>
      <c r="L6" s="12">
        <v>0</v>
      </c>
      <c r="M6" s="12">
        <v>1</v>
      </c>
      <c r="N6" s="13">
        <v>0</v>
      </c>
      <c r="O6" s="20"/>
      <c r="P6">
        <f>IF(AND(Table1_25[[#This Row],[price]]&gt;R$12,Table1_25[[#This Row],[price]]&lt;S$12),Table1_25[[#This Row],[price]],"")</f>
        <v>12200000</v>
      </c>
      <c r="R6" s="17">
        <f>_xlfn.QUARTILE.INC(Table1_25[price],1)</f>
        <v>4750000</v>
      </c>
      <c r="S6" s="17">
        <f>_xlfn.QUARTILE.INC(Table1_25[price],3)</f>
        <v>8350000</v>
      </c>
    </row>
    <row r="7" spans="1:19">
      <c r="A7" s="11">
        <v>11200000</v>
      </c>
      <c r="B7" s="12">
        <v>6500</v>
      </c>
      <c r="C7" s="12">
        <v>3</v>
      </c>
      <c r="D7" s="12">
        <v>2</v>
      </c>
      <c r="E7" s="12">
        <v>2</v>
      </c>
      <c r="F7" s="12">
        <v>1</v>
      </c>
      <c r="G7" s="12">
        <v>0</v>
      </c>
      <c r="H7" s="12">
        <v>0</v>
      </c>
      <c r="I7" s="12">
        <v>0</v>
      </c>
      <c r="J7" s="12">
        <v>1</v>
      </c>
      <c r="K7" s="12">
        <v>2</v>
      </c>
      <c r="L7" s="12">
        <v>1</v>
      </c>
      <c r="M7" s="12">
        <v>0</v>
      </c>
      <c r="N7" s="13">
        <v>1</v>
      </c>
      <c r="O7" s="20"/>
      <c r="P7">
        <f>IF(AND(Table1_25[[#This Row],[price]]&gt;R$12,Table1_25[[#This Row],[price]]&lt;S$12),Table1_25[[#This Row],[price]],"")</f>
        <v>11200000</v>
      </c>
    </row>
    <row r="8" spans="1:19">
      <c r="A8" s="11">
        <v>8100000</v>
      </c>
      <c r="B8" s="12">
        <v>4800</v>
      </c>
      <c r="C8" s="12">
        <v>3</v>
      </c>
      <c r="D8" s="12">
        <v>2</v>
      </c>
      <c r="E8" s="12">
        <v>1</v>
      </c>
      <c r="F8" s="12">
        <v>1</v>
      </c>
      <c r="G8" s="12">
        <v>0</v>
      </c>
      <c r="H8" s="12">
        <v>1</v>
      </c>
      <c r="I8" s="12">
        <v>0</v>
      </c>
      <c r="J8" s="12">
        <v>0</v>
      </c>
      <c r="K8" s="12">
        <v>1</v>
      </c>
      <c r="L8" s="12">
        <v>0</v>
      </c>
      <c r="M8" s="12">
        <v>0</v>
      </c>
      <c r="N8" s="13">
        <v>0</v>
      </c>
      <c r="O8" s="20"/>
      <c r="P8">
        <f>IF(AND(Table1_25[[#This Row],[price]]&gt;R$12,Table1_25[[#This Row],[price]]&lt;S$12),Table1_25[[#This Row],[price]],"")</f>
        <v>8100000</v>
      </c>
      <c r="R8" s="17" t="s">
        <v>23</v>
      </c>
      <c r="S8" s="17"/>
    </row>
    <row r="9" spans="1:19">
      <c r="A9" s="11">
        <v>11950000</v>
      </c>
      <c r="B9" s="12">
        <v>5400</v>
      </c>
      <c r="C9" s="12">
        <v>4</v>
      </c>
      <c r="D9" s="12">
        <v>3</v>
      </c>
      <c r="E9" s="12">
        <v>2</v>
      </c>
      <c r="F9" s="12">
        <v>1</v>
      </c>
      <c r="G9" s="12">
        <v>1</v>
      </c>
      <c r="H9" s="12">
        <v>0</v>
      </c>
      <c r="I9" s="12">
        <v>0</v>
      </c>
      <c r="J9" s="12">
        <v>1</v>
      </c>
      <c r="K9" s="12">
        <v>2</v>
      </c>
      <c r="L9" s="12">
        <v>1</v>
      </c>
      <c r="M9" s="12">
        <v>1</v>
      </c>
      <c r="N9" s="13">
        <v>0</v>
      </c>
      <c r="O9" s="20"/>
      <c r="P9">
        <f>IF(AND(Table1_25[[#This Row],[price]]&gt;R$12,Table1_25[[#This Row],[price]]&lt;S$12),Table1_25[[#This Row],[price]],"")</f>
        <v>11950000</v>
      </c>
      <c r="R9" s="17">
        <f>S6-R6</f>
        <v>3600000</v>
      </c>
      <c r="S9" s="17"/>
    </row>
    <row r="10" spans="1:19">
      <c r="A10" s="11">
        <v>5200000</v>
      </c>
      <c r="B10" s="12">
        <v>3200</v>
      </c>
      <c r="C10" s="12">
        <v>2</v>
      </c>
      <c r="D10" s="12">
        <v>1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3">
        <v>0</v>
      </c>
      <c r="O10" s="20"/>
      <c r="P10">
        <f>IF(AND(Table1_25[[#This Row],[price]]&gt;R$12,Table1_25[[#This Row],[price]]&lt;S$12),Table1_25[[#This Row],[price]],"")</f>
        <v>5200000</v>
      </c>
    </row>
    <row r="11" spans="1:19">
      <c r="A11" s="11">
        <v>7600000</v>
      </c>
      <c r="B11" s="12">
        <v>4100</v>
      </c>
      <c r="C11" s="12">
        <v>3</v>
      </c>
      <c r="D11" s="12">
        <v>1</v>
      </c>
      <c r="E11" s="12">
        <v>2</v>
      </c>
      <c r="F11" s="12">
        <v>1</v>
      </c>
      <c r="G11" s="12">
        <v>0</v>
      </c>
      <c r="H11" s="12">
        <v>1</v>
      </c>
      <c r="I11" s="12">
        <v>0</v>
      </c>
      <c r="J11" s="12">
        <v>0</v>
      </c>
      <c r="K11" s="12">
        <v>1</v>
      </c>
      <c r="L11" s="12">
        <v>0</v>
      </c>
      <c r="M11" s="12">
        <v>0</v>
      </c>
      <c r="N11" s="13">
        <v>1</v>
      </c>
      <c r="O11" s="20"/>
      <c r="P11">
        <f>IF(AND(Table1_25[[#This Row],[price]]&gt;R$12,Table1_25[[#This Row],[price]]&lt;S$12),Table1_25[[#This Row],[price]],"")</f>
        <v>7600000</v>
      </c>
      <c r="R11" s="18" t="s">
        <v>24</v>
      </c>
      <c r="S11" s="18" t="s">
        <v>25</v>
      </c>
    </row>
    <row r="12" spans="1:19">
      <c r="A12" s="11">
        <v>10800000</v>
      </c>
      <c r="B12" s="12">
        <v>5600</v>
      </c>
      <c r="C12" s="12">
        <v>3</v>
      </c>
      <c r="D12" s="12">
        <v>2</v>
      </c>
      <c r="E12" s="12">
        <v>2</v>
      </c>
      <c r="F12" s="12">
        <v>1</v>
      </c>
      <c r="G12" s="12">
        <v>0</v>
      </c>
      <c r="H12" s="12">
        <v>0</v>
      </c>
      <c r="I12" s="12">
        <v>0</v>
      </c>
      <c r="J12" s="12">
        <v>1</v>
      </c>
      <c r="K12" s="12">
        <v>2</v>
      </c>
      <c r="L12" s="12">
        <v>1</v>
      </c>
      <c r="M12" s="12">
        <v>1</v>
      </c>
      <c r="N12" s="13">
        <v>0</v>
      </c>
      <c r="O12" s="20"/>
      <c r="P12">
        <f>IF(AND(Table1_25[[#This Row],[price]]&gt;R$12,Table1_25[[#This Row],[price]]&lt;S$12),Table1_25[[#This Row],[price]],"")</f>
        <v>10800000</v>
      </c>
      <c r="R12" s="18">
        <f>R6-1.5*R9</f>
        <v>-650000</v>
      </c>
      <c r="S12" s="18">
        <f>S6+1.5*R9</f>
        <v>13750000</v>
      </c>
    </row>
    <row r="13" spans="1:19">
      <c r="A13" s="11">
        <v>13100000</v>
      </c>
      <c r="B13" s="12">
        <v>6200</v>
      </c>
      <c r="C13" s="12">
        <v>4</v>
      </c>
      <c r="D13" s="12">
        <v>3</v>
      </c>
      <c r="E13" s="12">
        <v>3</v>
      </c>
      <c r="F13" s="12">
        <v>1</v>
      </c>
      <c r="G13" s="12">
        <v>1</v>
      </c>
      <c r="H13" s="12">
        <v>1</v>
      </c>
      <c r="I13" s="12">
        <v>0</v>
      </c>
      <c r="J13" s="12">
        <v>1</v>
      </c>
      <c r="K13" s="12">
        <v>2</v>
      </c>
      <c r="L13" s="12">
        <v>1</v>
      </c>
      <c r="M13" s="12">
        <v>1</v>
      </c>
      <c r="N13" s="13">
        <v>0</v>
      </c>
      <c r="O13" s="20"/>
      <c r="P13">
        <f>IF(AND(Table1_25[[#This Row],[price]]&gt;R$12,Table1_25[[#This Row],[price]]&lt;S$12),Table1_25[[#This Row],[price]],"")</f>
        <v>13100000</v>
      </c>
    </row>
    <row r="14" spans="1:19">
      <c r="A14" s="11">
        <v>6100000</v>
      </c>
      <c r="B14" s="12">
        <v>3700</v>
      </c>
      <c r="C14" s="12">
        <v>2</v>
      </c>
      <c r="D14" s="12">
        <v>1</v>
      </c>
      <c r="E14" s="12">
        <v>1</v>
      </c>
      <c r="F14" s="12">
        <v>1</v>
      </c>
      <c r="G14" s="12">
        <v>0</v>
      </c>
      <c r="H14" s="12">
        <v>0</v>
      </c>
      <c r="I14" s="12">
        <v>0</v>
      </c>
      <c r="J14" s="12">
        <v>0</v>
      </c>
      <c r="K14" s="12">
        <v>1</v>
      </c>
      <c r="L14" s="12">
        <v>0</v>
      </c>
      <c r="M14" s="12">
        <v>0</v>
      </c>
      <c r="N14" s="13">
        <v>0</v>
      </c>
      <c r="O14" s="20"/>
      <c r="P14">
        <f>IF(AND(Table1_25[[#This Row],[price]]&gt;R$12,Table1_25[[#This Row],[price]]&lt;S$12),Table1_25[[#This Row],[price]],"")</f>
        <v>6100000</v>
      </c>
    </row>
    <row r="15" spans="1:19">
      <c r="A15" s="11">
        <v>8900000</v>
      </c>
      <c r="B15" s="12">
        <v>4550</v>
      </c>
      <c r="C15" s="12">
        <v>3</v>
      </c>
      <c r="D15" s="12">
        <v>2</v>
      </c>
      <c r="E15" s="12">
        <v>2</v>
      </c>
      <c r="F15" s="12">
        <v>0</v>
      </c>
      <c r="G15" s="12">
        <v>0</v>
      </c>
      <c r="H15" s="12">
        <v>1</v>
      </c>
      <c r="I15" s="12">
        <v>0</v>
      </c>
      <c r="J15" s="12">
        <v>1</v>
      </c>
      <c r="K15" s="12">
        <v>1</v>
      </c>
      <c r="L15" s="12">
        <v>0</v>
      </c>
      <c r="M15" s="12">
        <v>0</v>
      </c>
      <c r="N15" s="13">
        <v>1</v>
      </c>
      <c r="O15" s="20"/>
      <c r="P15">
        <f>IF(AND(Table1_25[[#This Row],[price]]&gt;R$12,Table1_25[[#This Row],[price]]&lt;S$12),Table1_25[[#This Row],[price]],"")</f>
        <v>8900000</v>
      </c>
      <c r="R15" s="17" t="s">
        <v>27</v>
      </c>
      <c r="S15" s="17"/>
    </row>
    <row r="16" spans="1:19">
      <c r="A16" s="11">
        <v>13800000</v>
      </c>
      <c r="B16" s="12">
        <v>7000</v>
      </c>
      <c r="C16" s="12">
        <v>4</v>
      </c>
      <c r="D16" s="12">
        <v>3</v>
      </c>
      <c r="E16" s="12">
        <v>2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3</v>
      </c>
      <c r="L16" s="12">
        <v>1</v>
      </c>
      <c r="M16" s="12">
        <v>1</v>
      </c>
      <c r="N16" s="13">
        <v>0</v>
      </c>
      <c r="O16" s="20"/>
      <c r="P16" t="str">
        <f>IF(AND(Table1_25[[#This Row],[price]]&gt;R$12,Table1_25[[#This Row],[price]]&lt;S$12),Table1_25[[#This Row],[price]],"")</f>
        <v/>
      </c>
      <c r="R16" s="17">
        <f>COUNTBLANK(P2:P201)</f>
        <v>34</v>
      </c>
      <c r="S16" s="17"/>
    </row>
    <row r="17" spans="1:16">
      <c r="A17" s="11">
        <v>4500000</v>
      </c>
      <c r="B17" s="12">
        <v>2850</v>
      </c>
      <c r="C17" s="12">
        <v>2</v>
      </c>
      <c r="D17" s="12">
        <v>1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>
        <v>0</v>
      </c>
      <c r="O17" s="20"/>
      <c r="P17">
        <f>IF(AND(Table1_25[[#This Row],[price]]&gt;R$12,Table1_25[[#This Row],[price]]&lt;S$12),Table1_25[[#This Row],[price]],"")</f>
        <v>4500000</v>
      </c>
    </row>
    <row r="18" spans="1:16">
      <c r="A18" s="11">
        <v>10100000</v>
      </c>
      <c r="B18" s="12">
        <v>5100</v>
      </c>
      <c r="C18" s="12">
        <v>3</v>
      </c>
      <c r="D18" s="12">
        <v>2</v>
      </c>
      <c r="E18" s="12">
        <v>2</v>
      </c>
      <c r="F18" s="12">
        <v>1</v>
      </c>
      <c r="G18" s="12">
        <v>0</v>
      </c>
      <c r="H18" s="12">
        <v>0</v>
      </c>
      <c r="I18" s="12">
        <v>0</v>
      </c>
      <c r="J18" s="12">
        <v>1</v>
      </c>
      <c r="K18" s="12">
        <v>2</v>
      </c>
      <c r="L18" s="12">
        <v>0</v>
      </c>
      <c r="M18" s="12">
        <v>0</v>
      </c>
      <c r="N18" s="13">
        <v>1</v>
      </c>
      <c r="O18" s="20"/>
      <c r="P18">
        <f>IF(AND(Table1_25[[#This Row],[price]]&gt;R$12,Table1_25[[#This Row],[price]]&lt;S$12),Table1_25[[#This Row],[price]],"")</f>
        <v>10100000</v>
      </c>
    </row>
    <row r="19" spans="1:16">
      <c r="A19" s="11">
        <v>14100000</v>
      </c>
      <c r="B19" s="12">
        <v>6800</v>
      </c>
      <c r="C19" s="12">
        <v>4</v>
      </c>
      <c r="D19" s="12">
        <v>2</v>
      </c>
      <c r="E19" s="12">
        <v>3</v>
      </c>
      <c r="F19" s="12">
        <v>1</v>
      </c>
      <c r="G19" s="12">
        <v>1</v>
      </c>
      <c r="H19" s="12">
        <v>1</v>
      </c>
      <c r="I19" s="12">
        <v>0</v>
      </c>
      <c r="J19" s="12">
        <v>1</v>
      </c>
      <c r="K19" s="12">
        <v>2</v>
      </c>
      <c r="L19" s="12">
        <v>1</v>
      </c>
      <c r="M19" s="12">
        <v>1</v>
      </c>
      <c r="N19" s="13">
        <v>0</v>
      </c>
      <c r="O19" s="20"/>
      <c r="P19" t="str">
        <f>IF(AND(Table1_25[[#This Row],[price]]&gt;R$12,Table1_25[[#This Row],[price]]&lt;S$12),Table1_25[[#This Row],[price]],"")</f>
        <v/>
      </c>
    </row>
    <row r="20" spans="1:16">
      <c r="A20" s="11">
        <v>6500000</v>
      </c>
      <c r="B20" s="12">
        <v>3950</v>
      </c>
      <c r="C20" s="12">
        <v>2</v>
      </c>
      <c r="D20" s="12">
        <v>1</v>
      </c>
      <c r="E20" s="12">
        <v>1</v>
      </c>
      <c r="F20" s="12">
        <v>1</v>
      </c>
      <c r="G20" s="12">
        <v>0</v>
      </c>
      <c r="H20" s="12">
        <v>0</v>
      </c>
      <c r="I20" s="12">
        <v>0</v>
      </c>
      <c r="J20" s="12">
        <v>0</v>
      </c>
      <c r="K20" s="12">
        <v>1</v>
      </c>
      <c r="L20" s="12">
        <v>0</v>
      </c>
      <c r="M20" s="12">
        <v>0</v>
      </c>
      <c r="N20" s="13">
        <v>0</v>
      </c>
      <c r="O20" s="20"/>
      <c r="P20">
        <f>IF(AND(Table1_25[[#This Row],[price]]&gt;R$12,Table1_25[[#This Row],[price]]&lt;S$12),Table1_25[[#This Row],[price]],"")</f>
        <v>6500000</v>
      </c>
    </row>
    <row r="21" spans="1:16">
      <c r="A21" s="11">
        <v>11400000</v>
      </c>
      <c r="B21" s="12">
        <v>5900</v>
      </c>
      <c r="C21" s="12">
        <v>3</v>
      </c>
      <c r="D21" s="12">
        <v>2</v>
      </c>
      <c r="E21" s="12">
        <v>2</v>
      </c>
      <c r="F21" s="12">
        <v>1</v>
      </c>
      <c r="G21" s="12">
        <v>0</v>
      </c>
      <c r="H21" s="12">
        <v>1</v>
      </c>
      <c r="I21" s="12">
        <v>0</v>
      </c>
      <c r="J21" s="12">
        <v>1</v>
      </c>
      <c r="K21" s="12">
        <v>2</v>
      </c>
      <c r="L21" s="12">
        <v>1</v>
      </c>
      <c r="M21" s="12">
        <v>0</v>
      </c>
      <c r="N21" s="13">
        <v>1</v>
      </c>
      <c r="O21" s="20"/>
      <c r="P21">
        <f>IF(AND(Table1_25[[#This Row],[price]]&gt;R$12,Table1_25[[#This Row],[price]]&lt;S$12),Table1_25[[#This Row],[price]],"")</f>
        <v>11400000</v>
      </c>
    </row>
    <row r="22" spans="1:16">
      <c r="A22" s="11">
        <v>5200000</v>
      </c>
      <c r="B22" s="12">
        <v>4600</v>
      </c>
      <c r="C22" s="12">
        <v>3</v>
      </c>
      <c r="D22" s="12">
        <v>2</v>
      </c>
      <c r="E22" s="12">
        <v>2</v>
      </c>
      <c r="F22" s="12">
        <v>1</v>
      </c>
      <c r="G22" s="12">
        <v>0</v>
      </c>
      <c r="H22" s="12">
        <v>0</v>
      </c>
      <c r="I22" s="12">
        <v>0</v>
      </c>
      <c r="J22" s="12">
        <v>1</v>
      </c>
      <c r="K22" s="12">
        <v>2</v>
      </c>
      <c r="L22" s="12">
        <v>0</v>
      </c>
      <c r="M22" s="12">
        <v>0</v>
      </c>
      <c r="N22" s="13">
        <v>1</v>
      </c>
      <c r="O22" s="20"/>
      <c r="P22">
        <f>IF(AND(Table1_25[[#This Row],[price]]&gt;R$12,Table1_25[[#This Row],[price]]&lt;S$12),Table1_25[[#This Row],[price]],"")</f>
        <v>5200000</v>
      </c>
    </row>
    <row r="23" spans="1:16">
      <c r="A23" s="11">
        <v>6100000</v>
      </c>
      <c r="B23" s="12">
        <v>5800</v>
      </c>
      <c r="C23" s="12">
        <v>4</v>
      </c>
      <c r="D23" s="12">
        <v>3</v>
      </c>
      <c r="E23" s="12">
        <v>2</v>
      </c>
      <c r="F23" s="12">
        <v>1</v>
      </c>
      <c r="G23" s="12">
        <v>1</v>
      </c>
      <c r="H23" s="12">
        <v>0</v>
      </c>
      <c r="I23" s="12">
        <v>0</v>
      </c>
      <c r="J23" s="12">
        <v>1</v>
      </c>
      <c r="K23" s="12">
        <v>2</v>
      </c>
      <c r="L23" s="12">
        <v>1</v>
      </c>
      <c r="M23" s="12">
        <v>1</v>
      </c>
      <c r="N23" s="13">
        <v>0</v>
      </c>
      <c r="O23" s="20"/>
      <c r="P23">
        <f>IF(AND(Table1_25[[#This Row],[price]]&gt;R$12,Table1_25[[#This Row],[price]]&lt;S$12),Table1_25[[#This Row],[price]],"")</f>
        <v>6100000</v>
      </c>
    </row>
    <row r="24" spans="1:16">
      <c r="A24" s="11">
        <v>3950000</v>
      </c>
      <c r="B24" s="12">
        <v>3500</v>
      </c>
      <c r="C24" s="12">
        <v>2</v>
      </c>
      <c r="D24" s="12">
        <v>1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1</v>
      </c>
      <c r="L24" s="12">
        <v>0</v>
      </c>
      <c r="M24" s="12">
        <v>0</v>
      </c>
      <c r="N24" s="13">
        <v>0</v>
      </c>
      <c r="O24" s="20"/>
      <c r="P24">
        <f>IF(AND(Table1_25[[#This Row],[price]]&gt;R$12,Table1_25[[#This Row],[price]]&lt;S$12),Table1_25[[#This Row],[price]],"")</f>
        <v>3950000</v>
      </c>
    </row>
    <row r="25" spans="1:16">
      <c r="A25" s="11">
        <v>7200000</v>
      </c>
      <c r="B25" s="12">
        <v>6400</v>
      </c>
      <c r="C25" s="12">
        <v>4</v>
      </c>
      <c r="D25" s="12">
        <v>3</v>
      </c>
      <c r="E25" s="12">
        <v>3</v>
      </c>
      <c r="F25" s="12">
        <v>1</v>
      </c>
      <c r="G25" s="12">
        <v>1</v>
      </c>
      <c r="H25" s="12">
        <v>1</v>
      </c>
      <c r="I25" s="12">
        <v>0</v>
      </c>
      <c r="J25" s="12">
        <v>1</v>
      </c>
      <c r="K25" s="12">
        <v>2</v>
      </c>
      <c r="L25" s="12">
        <v>1</v>
      </c>
      <c r="M25" s="12">
        <v>1</v>
      </c>
      <c r="N25" s="13">
        <v>0</v>
      </c>
      <c r="O25" s="20"/>
      <c r="P25">
        <f>IF(AND(Table1_25[[#This Row],[price]]&gt;R$12,Table1_25[[#This Row],[price]]&lt;S$12),Table1_25[[#This Row],[price]],"")</f>
        <v>7200000</v>
      </c>
    </row>
    <row r="26" spans="1:16">
      <c r="A26" s="11">
        <v>4550000</v>
      </c>
      <c r="B26" s="12">
        <v>4100</v>
      </c>
      <c r="C26" s="12">
        <v>3</v>
      </c>
      <c r="D26" s="12">
        <v>2</v>
      </c>
      <c r="E26" s="12">
        <v>1</v>
      </c>
      <c r="F26" s="12">
        <v>1</v>
      </c>
      <c r="G26" s="12">
        <v>0</v>
      </c>
      <c r="H26" s="12">
        <v>0</v>
      </c>
      <c r="I26" s="12">
        <v>0</v>
      </c>
      <c r="J26" s="12">
        <v>0</v>
      </c>
      <c r="K26" s="12">
        <v>2</v>
      </c>
      <c r="L26" s="12">
        <v>0</v>
      </c>
      <c r="M26" s="12">
        <v>0</v>
      </c>
      <c r="N26" s="13">
        <v>1</v>
      </c>
      <c r="O26" s="20"/>
      <c r="P26">
        <f>IF(AND(Table1_25[[#This Row],[price]]&gt;R$12,Table1_25[[#This Row],[price]]&lt;S$12),Table1_25[[#This Row],[price]],"")</f>
        <v>4550000</v>
      </c>
    </row>
    <row r="27" spans="1:16">
      <c r="A27" s="11">
        <v>6850000</v>
      </c>
      <c r="B27" s="12">
        <v>6000</v>
      </c>
      <c r="C27" s="12">
        <v>4</v>
      </c>
      <c r="D27" s="12">
        <v>2</v>
      </c>
      <c r="E27" s="12">
        <v>2</v>
      </c>
      <c r="F27" s="12">
        <v>1</v>
      </c>
      <c r="G27" s="12">
        <v>1</v>
      </c>
      <c r="H27" s="12">
        <v>0</v>
      </c>
      <c r="I27" s="12">
        <v>0</v>
      </c>
      <c r="J27" s="12">
        <v>1</v>
      </c>
      <c r="K27" s="12">
        <v>2</v>
      </c>
      <c r="L27" s="12">
        <v>1</v>
      </c>
      <c r="M27" s="12">
        <v>1</v>
      </c>
      <c r="N27" s="13">
        <v>0</v>
      </c>
      <c r="O27" s="20"/>
      <c r="P27">
        <f>IF(AND(Table1_25[[#This Row],[price]]&gt;R$12,Table1_25[[#This Row],[price]]&lt;S$12),Table1_25[[#This Row],[price]],"")</f>
        <v>6850000</v>
      </c>
    </row>
    <row r="28" spans="1:16">
      <c r="A28" s="11">
        <v>5400000</v>
      </c>
      <c r="B28" s="12">
        <v>5000</v>
      </c>
      <c r="C28" s="12">
        <v>3</v>
      </c>
      <c r="D28" s="12">
        <v>2</v>
      </c>
      <c r="E28" s="12">
        <v>2</v>
      </c>
      <c r="F28" s="12">
        <v>1</v>
      </c>
      <c r="G28" s="12">
        <v>0</v>
      </c>
      <c r="H28" s="12">
        <v>1</v>
      </c>
      <c r="I28" s="12">
        <v>0</v>
      </c>
      <c r="J28" s="12">
        <v>1</v>
      </c>
      <c r="K28" s="12">
        <v>2</v>
      </c>
      <c r="L28" s="12">
        <v>0</v>
      </c>
      <c r="M28" s="12">
        <v>0</v>
      </c>
      <c r="N28" s="13">
        <v>1</v>
      </c>
      <c r="O28" s="20"/>
      <c r="P28">
        <f>IF(AND(Table1_25[[#This Row],[price]]&gt;R$12,Table1_25[[#This Row],[price]]&lt;S$12),Table1_25[[#This Row],[price]],"")</f>
        <v>5400000</v>
      </c>
    </row>
    <row r="29" spans="1:16">
      <c r="A29" s="11">
        <v>3350000</v>
      </c>
      <c r="B29" s="12">
        <v>3000</v>
      </c>
      <c r="C29" s="12">
        <v>2</v>
      </c>
      <c r="D29" s="12">
        <v>1</v>
      </c>
      <c r="E29" s="12">
        <v>1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1</v>
      </c>
      <c r="L29" s="12">
        <v>0</v>
      </c>
      <c r="M29" s="12">
        <v>0</v>
      </c>
      <c r="N29" s="13">
        <v>0</v>
      </c>
      <c r="O29" s="20"/>
      <c r="P29">
        <f>IF(AND(Table1_25[[#This Row],[price]]&gt;R$12,Table1_25[[#This Row],[price]]&lt;S$12),Table1_25[[#This Row],[price]],"")</f>
        <v>3350000</v>
      </c>
    </row>
    <row r="30" spans="1:16">
      <c r="A30" s="11">
        <v>8100000</v>
      </c>
      <c r="B30" s="12">
        <v>7200</v>
      </c>
      <c r="C30" s="12">
        <v>5</v>
      </c>
      <c r="D30" s="12">
        <v>3</v>
      </c>
      <c r="E30" s="12">
        <v>3</v>
      </c>
      <c r="F30" s="12">
        <v>1</v>
      </c>
      <c r="G30" s="12">
        <v>1</v>
      </c>
      <c r="H30" s="12">
        <v>1</v>
      </c>
      <c r="I30" s="12">
        <v>0</v>
      </c>
      <c r="J30" s="12">
        <v>1</v>
      </c>
      <c r="K30" s="12">
        <v>3</v>
      </c>
      <c r="L30" s="12">
        <v>1</v>
      </c>
      <c r="M30" s="12">
        <v>1</v>
      </c>
      <c r="N30" s="13">
        <v>0</v>
      </c>
      <c r="O30" s="20"/>
      <c r="P30">
        <f>IF(AND(Table1_25[[#This Row],[price]]&gt;R$12,Table1_25[[#This Row],[price]]&lt;S$12),Table1_25[[#This Row],[price]],"")</f>
        <v>8100000</v>
      </c>
    </row>
    <row r="31" spans="1:16">
      <c r="A31" s="11">
        <v>4900000</v>
      </c>
      <c r="B31" s="12">
        <v>4300</v>
      </c>
      <c r="C31" s="12">
        <v>3</v>
      </c>
      <c r="D31" s="12">
        <v>2</v>
      </c>
      <c r="E31" s="12">
        <v>2</v>
      </c>
      <c r="F31" s="12">
        <v>1</v>
      </c>
      <c r="G31" s="12">
        <v>0</v>
      </c>
      <c r="H31" s="12">
        <v>0</v>
      </c>
      <c r="I31" s="12">
        <v>0</v>
      </c>
      <c r="J31" s="12">
        <v>1</v>
      </c>
      <c r="K31" s="12">
        <v>2</v>
      </c>
      <c r="L31" s="12">
        <v>0</v>
      </c>
      <c r="M31" s="12">
        <v>0</v>
      </c>
      <c r="N31" s="13">
        <v>1</v>
      </c>
      <c r="O31" s="20"/>
      <c r="P31">
        <f>IF(AND(Table1_25[[#This Row],[price]]&gt;R$12,Table1_25[[#This Row],[price]]&lt;S$12),Table1_25[[#This Row],[price]],"")</f>
        <v>4900000</v>
      </c>
    </row>
    <row r="32" spans="1:16">
      <c r="A32" s="11">
        <v>3750000</v>
      </c>
      <c r="B32" s="12">
        <v>3400</v>
      </c>
      <c r="C32" s="12">
        <v>2</v>
      </c>
      <c r="D32" s="12">
        <v>1</v>
      </c>
      <c r="E32" s="12">
        <v>1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1</v>
      </c>
      <c r="L32" s="12">
        <v>0</v>
      </c>
      <c r="M32" s="12">
        <v>0</v>
      </c>
      <c r="N32" s="13">
        <v>0</v>
      </c>
      <c r="O32" s="20"/>
      <c r="P32">
        <f>IF(AND(Table1_25[[#This Row],[price]]&gt;R$12,Table1_25[[#This Row],[price]]&lt;S$12),Table1_25[[#This Row],[price]],"")</f>
        <v>3750000</v>
      </c>
    </row>
    <row r="33" spans="1:16">
      <c r="A33" s="11">
        <v>6400000</v>
      </c>
      <c r="B33" s="12">
        <v>5700</v>
      </c>
      <c r="C33" s="12">
        <v>4</v>
      </c>
      <c r="D33" s="12">
        <v>2</v>
      </c>
      <c r="E33" s="12">
        <v>2</v>
      </c>
      <c r="F33" s="12">
        <v>1</v>
      </c>
      <c r="G33" s="12">
        <v>1</v>
      </c>
      <c r="H33" s="12">
        <v>0</v>
      </c>
      <c r="I33" s="12">
        <v>0</v>
      </c>
      <c r="J33" s="12">
        <v>1</v>
      </c>
      <c r="K33" s="12">
        <v>2</v>
      </c>
      <c r="L33" s="12">
        <v>1</v>
      </c>
      <c r="M33" s="12">
        <v>1</v>
      </c>
      <c r="N33" s="13">
        <v>0</v>
      </c>
      <c r="O33" s="20"/>
      <c r="P33">
        <f>IF(AND(Table1_25[[#This Row],[price]]&gt;R$12,Table1_25[[#This Row],[price]]&lt;S$12),Table1_25[[#This Row],[price]],"")</f>
        <v>6400000</v>
      </c>
    </row>
    <row r="34" spans="1:16">
      <c r="A34" s="11">
        <v>5650000</v>
      </c>
      <c r="B34" s="12">
        <v>5200</v>
      </c>
      <c r="C34" s="12">
        <v>3</v>
      </c>
      <c r="D34" s="12">
        <v>2</v>
      </c>
      <c r="E34" s="12">
        <v>2</v>
      </c>
      <c r="F34" s="12">
        <v>1</v>
      </c>
      <c r="G34" s="12">
        <v>0</v>
      </c>
      <c r="H34" s="12">
        <v>1</v>
      </c>
      <c r="I34" s="12">
        <v>0</v>
      </c>
      <c r="J34" s="12">
        <v>1</v>
      </c>
      <c r="K34" s="12">
        <v>2</v>
      </c>
      <c r="L34" s="12">
        <v>0</v>
      </c>
      <c r="M34" s="12">
        <v>0</v>
      </c>
      <c r="N34" s="13">
        <v>1</v>
      </c>
      <c r="O34" s="20"/>
      <c r="P34">
        <f>IF(AND(Table1_25[[#This Row],[price]]&gt;R$12,Table1_25[[#This Row],[price]]&lt;S$12),Table1_25[[#This Row],[price]],"")</f>
        <v>5650000</v>
      </c>
    </row>
    <row r="35" spans="1:16">
      <c r="A35" s="11">
        <v>4700000</v>
      </c>
      <c r="B35" s="12">
        <v>4400</v>
      </c>
      <c r="C35" s="12">
        <v>3</v>
      </c>
      <c r="D35" s="12">
        <v>2</v>
      </c>
      <c r="E35" s="12">
        <v>1</v>
      </c>
      <c r="F35" s="12">
        <v>1</v>
      </c>
      <c r="G35" s="12">
        <v>0</v>
      </c>
      <c r="H35" s="12">
        <v>0</v>
      </c>
      <c r="I35" s="12">
        <v>0</v>
      </c>
      <c r="J35" s="12">
        <v>0</v>
      </c>
      <c r="K35" s="12">
        <v>2</v>
      </c>
      <c r="L35" s="12">
        <v>0</v>
      </c>
      <c r="M35" s="12">
        <v>0</v>
      </c>
      <c r="N35" s="13">
        <v>1</v>
      </c>
      <c r="O35" s="20"/>
      <c r="P35">
        <f>IF(AND(Table1_25[[#This Row],[price]]&gt;R$12,Table1_25[[#This Row],[price]]&lt;S$12),Table1_25[[#This Row],[price]],"")</f>
        <v>4700000</v>
      </c>
    </row>
    <row r="36" spans="1:16">
      <c r="A36" s="11">
        <v>7600000</v>
      </c>
      <c r="B36" s="12">
        <v>6800</v>
      </c>
      <c r="C36" s="12">
        <v>5</v>
      </c>
      <c r="D36" s="12">
        <v>3</v>
      </c>
      <c r="E36" s="12">
        <v>3</v>
      </c>
      <c r="F36" s="12">
        <v>1</v>
      </c>
      <c r="G36" s="12">
        <v>1</v>
      </c>
      <c r="H36" s="12">
        <v>1</v>
      </c>
      <c r="I36" s="12">
        <v>0</v>
      </c>
      <c r="J36" s="12">
        <v>1</v>
      </c>
      <c r="K36" s="12">
        <v>3</v>
      </c>
      <c r="L36" s="12">
        <v>1</v>
      </c>
      <c r="M36" s="12">
        <v>1</v>
      </c>
      <c r="N36" s="13">
        <v>0</v>
      </c>
      <c r="O36" s="20"/>
      <c r="P36">
        <f>IF(AND(Table1_25[[#This Row],[price]]&gt;R$12,Table1_25[[#This Row],[price]]&lt;S$12),Table1_25[[#This Row],[price]],"")</f>
        <v>7600000</v>
      </c>
    </row>
    <row r="37" spans="1:16">
      <c r="A37" s="11">
        <v>4200000</v>
      </c>
      <c r="B37" s="12">
        <v>3900</v>
      </c>
      <c r="C37" s="12">
        <v>3</v>
      </c>
      <c r="D37" s="12">
        <v>2</v>
      </c>
      <c r="E37" s="12">
        <v>1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1</v>
      </c>
      <c r="L37" s="12">
        <v>0</v>
      </c>
      <c r="M37" s="12">
        <v>0</v>
      </c>
      <c r="N37" s="13">
        <v>0</v>
      </c>
      <c r="O37" s="20"/>
      <c r="P37">
        <f>IF(AND(Table1_25[[#This Row],[price]]&gt;R$12,Table1_25[[#This Row],[price]]&lt;S$12),Table1_25[[#This Row],[price]],"")</f>
        <v>4200000</v>
      </c>
    </row>
    <row r="38" spans="1:16">
      <c r="A38" s="11">
        <v>6950000</v>
      </c>
      <c r="B38" s="12">
        <v>6100</v>
      </c>
      <c r="C38" s="12">
        <v>4</v>
      </c>
      <c r="D38" s="12">
        <v>3</v>
      </c>
      <c r="E38" s="12">
        <v>2</v>
      </c>
      <c r="F38" s="12">
        <v>1</v>
      </c>
      <c r="G38" s="12">
        <v>1</v>
      </c>
      <c r="H38" s="12">
        <v>0</v>
      </c>
      <c r="I38" s="12">
        <v>0</v>
      </c>
      <c r="J38" s="12">
        <v>1</v>
      </c>
      <c r="K38" s="12">
        <v>2</v>
      </c>
      <c r="L38" s="12">
        <v>1</v>
      </c>
      <c r="M38" s="12">
        <v>1</v>
      </c>
      <c r="N38" s="13">
        <v>0</v>
      </c>
      <c r="O38" s="20"/>
      <c r="P38">
        <f>IF(AND(Table1_25[[#This Row],[price]]&gt;R$12,Table1_25[[#This Row],[price]]&lt;S$12),Table1_25[[#This Row],[price]],"")</f>
        <v>6950000</v>
      </c>
    </row>
    <row r="39" spans="1:16">
      <c r="A39" s="11">
        <v>5150000</v>
      </c>
      <c r="B39" s="12">
        <v>4800</v>
      </c>
      <c r="C39" s="12">
        <v>3</v>
      </c>
      <c r="D39" s="12">
        <v>2</v>
      </c>
      <c r="E39" s="12">
        <v>2</v>
      </c>
      <c r="F39" s="12">
        <v>1</v>
      </c>
      <c r="G39" s="12">
        <v>0</v>
      </c>
      <c r="H39" s="12">
        <v>1</v>
      </c>
      <c r="I39" s="12">
        <v>0</v>
      </c>
      <c r="J39" s="12">
        <v>1</v>
      </c>
      <c r="K39" s="12">
        <v>2</v>
      </c>
      <c r="L39" s="12">
        <v>0</v>
      </c>
      <c r="M39" s="12">
        <v>0</v>
      </c>
      <c r="N39" s="13">
        <v>1</v>
      </c>
      <c r="O39" s="20"/>
      <c r="P39">
        <f>IF(AND(Table1_25[[#This Row],[price]]&gt;R$12,Table1_25[[#This Row],[price]]&lt;S$12),Table1_25[[#This Row],[price]],"")</f>
        <v>5150000</v>
      </c>
    </row>
    <row r="40" spans="1:16">
      <c r="A40" s="11">
        <v>3600000</v>
      </c>
      <c r="B40" s="12">
        <v>3200</v>
      </c>
      <c r="C40" s="12">
        <v>2</v>
      </c>
      <c r="D40" s="12">
        <v>1</v>
      </c>
      <c r="E40" s="12">
        <v>1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1</v>
      </c>
      <c r="L40" s="12">
        <v>0</v>
      </c>
      <c r="M40" s="12">
        <v>0</v>
      </c>
      <c r="N40" s="13">
        <v>0</v>
      </c>
      <c r="O40" s="20"/>
      <c r="P40">
        <f>IF(AND(Table1_25[[#This Row],[price]]&gt;R$12,Table1_25[[#This Row],[price]]&lt;S$12),Table1_25[[#This Row],[price]],"")</f>
        <v>3600000</v>
      </c>
    </row>
    <row r="41" spans="1:16">
      <c r="A41" s="11">
        <v>8350000</v>
      </c>
      <c r="B41" s="12">
        <v>7400</v>
      </c>
      <c r="C41" s="12">
        <v>5</v>
      </c>
      <c r="D41" s="12">
        <v>3</v>
      </c>
      <c r="E41" s="12">
        <v>3</v>
      </c>
      <c r="F41" s="12">
        <v>1</v>
      </c>
      <c r="G41" s="12">
        <v>1</v>
      </c>
      <c r="H41" s="12">
        <v>1</v>
      </c>
      <c r="I41" s="12">
        <v>0</v>
      </c>
      <c r="J41" s="12">
        <v>1</v>
      </c>
      <c r="K41" s="12">
        <v>3</v>
      </c>
      <c r="L41" s="12">
        <v>1</v>
      </c>
      <c r="M41" s="12">
        <v>1</v>
      </c>
      <c r="N41" s="13">
        <v>0</v>
      </c>
      <c r="O41" s="20"/>
      <c r="P41">
        <f>IF(AND(Table1_25[[#This Row],[price]]&gt;R$12,Table1_25[[#This Row],[price]]&lt;S$12),Table1_25[[#This Row],[price]],"")</f>
        <v>8350000</v>
      </c>
    </row>
    <row r="42" spans="1:16">
      <c r="A42" s="11">
        <v>25000000</v>
      </c>
      <c r="B42" s="12">
        <v>9500</v>
      </c>
      <c r="C42" s="12">
        <v>6</v>
      </c>
      <c r="D42" s="12">
        <v>5</v>
      </c>
      <c r="E42" s="12">
        <v>4</v>
      </c>
      <c r="F42" s="12">
        <v>1</v>
      </c>
      <c r="G42" s="12">
        <v>1</v>
      </c>
      <c r="H42" s="12">
        <v>1</v>
      </c>
      <c r="I42" s="12">
        <v>1</v>
      </c>
      <c r="J42" s="12">
        <v>1</v>
      </c>
      <c r="K42" s="12">
        <v>4</v>
      </c>
      <c r="L42" s="12">
        <v>1</v>
      </c>
      <c r="M42" s="12">
        <v>1</v>
      </c>
      <c r="N42" s="13">
        <v>0</v>
      </c>
      <c r="O42" s="20"/>
      <c r="P42" t="str">
        <f>IF(AND(Table1_25[[#This Row],[price]]&gt;R$12,Table1_25[[#This Row],[price]]&lt;S$12),Table1_25[[#This Row],[price]],"")</f>
        <v/>
      </c>
    </row>
    <row r="43" spans="1:16">
      <c r="A43" s="11">
        <v>31000000</v>
      </c>
      <c r="B43" s="12">
        <v>11000</v>
      </c>
      <c r="C43" s="12">
        <v>7</v>
      </c>
      <c r="D43" s="12">
        <v>6</v>
      </c>
      <c r="E43" s="12">
        <v>4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5</v>
      </c>
      <c r="L43" s="12">
        <v>1</v>
      </c>
      <c r="M43" s="12">
        <v>1</v>
      </c>
      <c r="N43" s="13">
        <v>0</v>
      </c>
      <c r="O43" s="20"/>
      <c r="P43" t="str">
        <f>IF(AND(Table1_25[[#This Row],[price]]&gt;R$12,Table1_25[[#This Row],[price]]&lt;S$12),Table1_25[[#This Row],[price]],"")</f>
        <v/>
      </c>
    </row>
    <row r="44" spans="1:16">
      <c r="A44" s="11">
        <v>42000000</v>
      </c>
      <c r="B44" s="12">
        <v>13500</v>
      </c>
      <c r="C44" s="12">
        <v>8</v>
      </c>
      <c r="D44" s="12">
        <v>7</v>
      </c>
      <c r="E44" s="12">
        <v>5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6</v>
      </c>
      <c r="L44" s="12">
        <v>1</v>
      </c>
      <c r="M44" s="12">
        <v>1</v>
      </c>
      <c r="N44" s="13">
        <v>0</v>
      </c>
      <c r="O44" s="20"/>
      <c r="P44" t="str">
        <f>IF(AND(Table1_25[[#This Row],[price]]&gt;R$12,Table1_25[[#This Row],[price]]&lt;S$12),Table1_25[[#This Row],[price]],"")</f>
        <v/>
      </c>
    </row>
    <row r="45" spans="1:16">
      <c r="A45" s="11">
        <v>27500000</v>
      </c>
      <c r="B45" s="12">
        <v>9800</v>
      </c>
      <c r="C45" s="12">
        <v>6</v>
      </c>
      <c r="D45" s="12">
        <v>5</v>
      </c>
      <c r="E45" s="12">
        <v>4</v>
      </c>
      <c r="F45" s="12">
        <v>1</v>
      </c>
      <c r="G45" s="12">
        <v>1</v>
      </c>
      <c r="H45" s="12">
        <v>1</v>
      </c>
      <c r="I45" s="12">
        <v>1</v>
      </c>
      <c r="J45" s="12">
        <v>1</v>
      </c>
      <c r="K45" s="12">
        <v>4</v>
      </c>
      <c r="L45" s="12">
        <v>1</v>
      </c>
      <c r="M45" s="12">
        <v>1</v>
      </c>
      <c r="N45" s="13">
        <v>0</v>
      </c>
      <c r="O45" s="20"/>
      <c r="P45" t="str">
        <f>IF(AND(Table1_25[[#This Row],[price]]&gt;R$12,Table1_25[[#This Row],[price]]&lt;S$12),Table1_25[[#This Row],[price]],"")</f>
        <v/>
      </c>
    </row>
    <row r="46" spans="1:16">
      <c r="A46" s="11">
        <v>35500000</v>
      </c>
      <c r="B46" s="12">
        <v>12000</v>
      </c>
      <c r="C46" s="12">
        <v>7</v>
      </c>
      <c r="D46" s="12">
        <v>6</v>
      </c>
      <c r="E46" s="12">
        <v>5</v>
      </c>
      <c r="F46" s="12">
        <v>1</v>
      </c>
      <c r="G46" s="12">
        <v>1</v>
      </c>
      <c r="H46" s="12">
        <v>1</v>
      </c>
      <c r="I46" s="12">
        <v>1</v>
      </c>
      <c r="J46" s="12">
        <v>1</v>
      </c>
      <c r="K46" s="12">
        <v>5</v>
      </c>
      <c r="L46" s="12">
        <v>1</v>
      </c>
      <c r="M46" s="12">
        <v>1</v>
      </c>
      <c r="N46" s="13">
        <v>0</v>
      </c>
      <c r="O46" s="20"/>
      <c r="P46" t="str">
        <f>IF(AND(Table1_25[[#This Row],[price]]&gt;R$12,Table1_25[[#This Row],[price]]&lt;S$12),Table1_25[[#This Row],[price]],"")</f>
        <v/>
      </c>
    </row>
    <row r="47" spans="1:16">
      <c r="A47" s="11">
        <v>4400000</v>
      </c>
      <c r="B47" s="12">
        <v>4050</v>
      </c>
      <c r="C47" s="12">
        <v>3</v>
      </c>
      <c r="D47" s="12">
        <v>2</v>
      </c>
      <c r="E47" s="12">
        <v>1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2</v>
      </c>
      <c r="L47" s="12">
        <v>0</v>
      </c>
      <c r="M47" s="12">
        <v>0</v>
      </c>
      <c r="N47" s="13">
        <v>1</v>
      </c>
      <c r="O47" s="20"/>
      <c r="P47">
        <f>IF(AND(Table1_25[[#This Row],[price]]&gt;R$12,Table1_25[[#This Row],[price]]&lt;S$12),Table1_25[[#This Row],[price]],"")</f>
        <v>4400000</v>
      </c>
    </row>
    <row r="48" spans="1:16">
      <c r="A48" s="11">
        <v>5850000</v>
      </c>
      <c r="B48" s="12">
        <v>5600</v>
      </c>
      <c r="C48" s="12">
        <v>4</v>
      </c>
      <c r="D48" s="12">
        <v>2</v>
      </c>
      <c r="E48" s="12">
        <v>2</v>
      </c>
      <c r="F48" s="12">
        <v>1</v>
      </c>
      <c r="G48" s="12">
        <v>1</v>
      </c>
      <c r="H48" s="12">
        <v>0</v>
      </c>
      <c r="I48" s="12">
        <v>0</v>
      </c>
      <c r="J48" s="12">
        <v>1</v>
      </c>
      <c r="K48" s="12">
        <v>2</v>
      </c>
      <c r="L48" s="12">
        <v>1</v>
      </c>
      <c r="M48" s="12">
        <v>1</v>
      </c>
      <c r="N48" s="13">
        <v>0</v>
      </c>
      <c r="O48" s="20"/>
      <c r="P48">
        <f>IF(AND(Table1_25[[#This Row],[price]]&gt;R$12,Table1_25[[#This Row],[price]]&lt;S$12),Table1_25[[#This Row],[price]],"")</f>
        <v>5850000</v>
      </c>
    </row>
    <row r="49" spans="1:16">
      <c r="A49" s="11">
        <v>5050000</v>
      </c>
      <c r="B49" s="12">
        <v>4700</v>
      </c>
      <c r="C49" s="12">
        <v>3</v>
      </c>
      <c r="D49" s="12">
        <v>2</v>
      </c>
      <c r="E49" s="12">
        <v>2</v>
      </c>
      <c r="F49" s="12">
        <v>1</v>
      </c>
      <c r="G49" s="12">
        <v>0</v>
      </c>
      <c r="H49" s="12">
        <v>1</v>
      </c>
      <c r="I49" s="12">
        <v>0</v>
      </c>
      <c r="J49" s="12">
        <v>1</v>
      </c>
      <c r="K49" s="12">
        <v>2</v>
      </c>
      <c r="L49" s="12">
        <v>0</v>
      </c>
      <c r="M49" s="12">
        <v>0</v>
      </c>
      <c r="N49" s="13">
        <v>1</v>
      </c>
      <c r="O49" s="20"/>
      <c r="P49">
        <f>IF(AND(Table1_25[[#This Row],[price]]&gt;R$12,Table1_25[[#This Row],[price]]&lt;S$12),Table1_25[[#This Row],[price]],"")</f>
        <v>5050000</v>
      </c>
    </row>
    <row r="50" spans="1:16">
      <c r="A50" s="11">
        <v>3900000</v>
      </c>
      <c r="B50" s="12">
        <v>3450</v>
      </c>
      <c r="C50" s="12">
        <v>2</v>
      </c>
      <c r="D50" s="12">
        <v>1</v>
      </c>
      <c r="E50" s="12">
        <v>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1</v>
      </c>
      <c r="L50" s="12">
        <v>0</v>
      </c>
      <c r="M50" s="12">
        <v>0</v>
      </c>
      <c r="N50" s="13">
        <v>0</v>
      </c>
      <c r="O50" s="20"/>
      <c r="P50">
        <f>IF(AND(Table1_25[[#This Row],[price]]&gt;R$12,Table1_25[[#This Row],[price]]&lt;S$12),Table1_25[[#This Row],[price]],"")</f>
        <v>3900000</v>
      </c>
    </row>
    <row r="51" spans="1:16">
      <c r="A51" s="11">
        <v>7300000</v>
      </c>
      <c r="B51" s="12">
        <v>6600</v>
      </c>
      <c r="C51" s="12">
        <v>5</v>
      </c>
      <c r="D51" s="12">
        <v>3</v>
      </c>
      <c r="E51" s="12">
        <v>3</v>
      </c>
      <c r="F51" s="12">
        <v>1</v>
      </c>
      <c r="G51" s="12">
        <v>1</v>
      </c>
      <c r="H51" s="12">
        <v>1</v>
      </c>
      <c r="I51" s="12">
        <v>0</v>
      </c>
      <c r="J51" s="12">
        <v>1</v>
      </c>
      <c r="K51" s="12">
        <v>3</v>
      </c>
      <c r="L51" s="12">
        <v>1</v>
      </c>
      <c r="M51" s="12">
        <v>1</v>
      </c>
      <c r="N51" s="13">
        <v>0</v>
      </c>
      <c r="O51" s="20"/>
      <c r="P51">
        <f>IF(AND(Table1_25[[#This Row],[price]]&gt;R$12,Table1_25[[#This Row],[price]]&lt;S$12),Table1_25[[#This Row],[price]],"")</f>
        <v>7300000</v>
      </c>
    </row>
    <row r="52" spans="1:16">
      <c r="A52" s="11">
        <v>4650000</v>
      </c>
      <c r="B52" s="12">
        <v>4350</v>
      </c>
      <c r="C52" s="12">
        <v>3</v>
      </c>
      <c r="D52" s="12">
        <v>2</v>
      </c>
      <c r="E52" s="12">
        <v>2</v>
      </c>
      <c r="F52" s="12">
        <v>1</v>
      </c>
      <c r="G52" s="12">
        <v>0</v>
      </c>
      <c r="H52" s="12">
        <v>0</v>
      </c>
      <c r="I52" s="12">
        <v>0</v>
      </c>
      <c r="J52" s="12">
        <v>1</v>
      </c>
      <c r="K52" s="12">
        <v>2</v>
      </c>
      <c r="L52" s="12">
        <v>0</v>
      </c>
      <c r="M52" s="12">
        <v>0</v>
      </c>
      <c r="N52" s="13">
        <v>1</v>
      </c>
      <c r="O52" s="20"/>
      <c r="P52">
        <f>IF(AND(Table1_25[[#This Row],[price]]&gt;R$12,Table1_25[[#This Row],[price]]&lt;S$12),Table1_25[[#This Row],[price]],"")</f>
        <v>4650000</v>
      </c>
    </row>
    <row r="53" spans="1:16">
      <c r="A53" s="11">
        <v>5450000</v>
      </c>
      <c r="B53" s="12">
        <v>5100</v>
      </c>
      <c r="C53" s="12">
        <v>3</v>
      </c>
      <c r="D53" s="12">
        <v>2</v>
      </c>
      <c r="E53" s="12">
        <v>2</v>
      </c>
      <c r="F53" s="12">
        <v>1</v>
      </c>
      <c r="G53" s="12">
        <v>1</v>
      </c>
      <c r="H53" s="12">
        <v>0</v>
      </c>
      <c r="I53" s="12">
        <v>0</v>
      </c>
      <c r="J53" s="12">
        <v>1</v>
      </c>
      <c r="K53" s="12">
        <v>2</v>
      </c>
      <c r="L53" s="12">
        <v>1</v>
      </c>
      <c r="M53" s="12">
        <v>1</v>
      </c>
      <c r="N53" s="13">
        <v>0</v>
      </c>
      <c r="O53" s="20"/>
      <c r="P53">
        <f>IF(AND(Table1_25[[#This Row],[price]]&gt;R$12,Table1_25[[#This Row],[price]]&lt;S$12),Table1_25[[#This Row],[price]],"")</f>
        <v>5450000</v>
      </c>
    </row>
    <row r="54" spans="1:16">
      <c r="A54" s="11">
        <v>3850000</v>
      </c>
      <c r="B54" s="12">
        <v>3250</v>
      </c>
      <c r="C54" s="12">
        <v>2</v>
      </c>
      <c r="D54" s="12">
        <v>1</v>
      </c>
      <c r="E54" s="12">
        <v>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1</v>
      </c>
      <c r="L54" s="12">
        <v>0</v>
      </c>
      <c r="M54" s="12">
        <v>0</v>
      </c>
      <c r="N54" s="13">
        <v>0</v>
      </c>
      <c r="O54" s="20"/>
      <c r="P54">
        <f>IF(AND(Table1_25[[#This Row],[price]]&gt;R$12,Table1_25[[#This Row],[price]]&lt;S$12),Table1_25[[#This Row],[price]],"")</f>
        <v>3850000</v>
      </c>
    </row>
    <row r="55" spans="1:16">
      <c r="A55" s="11">
        <v>6150000</v>
      </c>
      <c r="B55" s="12">
        <v>5900</v>
      </c>
      <c r="C55" s="12">
        <v>4</v>
      </c>
      <c r="D55" s="12">
        <v>3</v>
      </c>
      <c r="E55" s="12">
        <v>2</v>
      </c>
      <c r="F55" s="12">
        <v>1</v>
      </c>
      <c r="G55" s="12">
        <v>1</v>
      </c>
      <c r="H55" s="12">
        <v>1</v>
      </c>
      <c r="I55" s="12">
        <v>0</v>
      </c>
      <c r="J55" s="12">
        <v>1</v>
      </c>
      <c r="K55" s="12">
        <v>2</v>
      </c>
      <c r="L55" s="12">
        <v>1</v>
      </c>
      <c r="M55" s="12">
        <v>1</v>
      </c>
      <c r="N55" s="13">
        <v>0</v>
      </c>
      <c r="O55" s="20"/>
      <c r="P55">
        <f>IF(AND(Table1_25[[#This Row],[price]]&gt;R$12,Table1_25[[#This Row],[price]]&lt;S$12),Table1_25[[#This Row],[price]],"")</f>
        <v>6150000</v>
      </c>
    </row>
    <row r="56" spans="1:16">
      <c r="A56" s="11">
        <v>4950000</v>
      </c>
      <c r="B56" s="12">
        <v>4550</v>
      </c>
      <c r="C56" s="12">
        <v>3</v>
      </c>
      <c r="D56" s="12">
        <v>2</v>
      </c>
      <c r="E56" s="12">
        <v>2</v>
      </c>
      <c r="F56" s="12">
        <v>1</v>
      </c>
      <c r="G56" s="12">
        <v>0</v>
      </c>
      <c r="H56" s="12">
        <v>1</v>
      </c>
      <c r="I56" s="12">
        <v>0</v>
      </c>
      <c r="J56" s="12">
        <v>1</v>
      </c>
      <c r="K56" s="12">
        <v>2</v>
      </c>
      <c r="L56" s="12">
        <v>0</v>
      </c>
      <c r="M56" s="12">
        <v>0</v>
      </c>
      <c r="N56" s="13">
        <v>1</v>
      </c>
      <c r="O56" s="20"/>
      <c r="P56">
        <f>IF(AND(Table1_25[[#This Row],[price]]&gt;R$12,Table1_25[[#This Row],[price]]&lt;S$12),Table1_25[[#This Row],[price]],"")</f>
        <v>4950000</v>
      </c>
    </row>
    <row r="57" spans="1:16">
      <c r="A57" s="11">
        <v>7050000</v>
      </c>
      <c r="B57" s="12">
        <v>6550</v>
      </c>
      <c r="C57" s="12">
        <v>4</v>
      </c>
      <c r="D57" s="12">
        <v>3</v>
      </c>
      <c r="E57" s="12">
        <v>3</v>
      </c>
      <c r="F57" s="12">
        <v>1</v>
      </c>
      <c r="G57" s="12">
        <v>1</v>
      </c>
      <c r="H57" s="12">
        <v>0</v>
      </c>
      <c r="I57" s="12">
        <v>0</v>
      </c>
      <c r="J57" s="12">
        <v>1</v>
      </c>
      <c r="K57" s="12">
        <v>3</v>
      </c>
      <c r="L57" s="12">
        <v>1</v>
      </c>
      <c r="M57" s="12">
        <v>1</v>
      </c>
      <c r="N57" s="13">
        <v>0</v>
      </c>
      <c r="O57" s="20"/>
      <c r="P57">
        <f>IF(AND(Table1_25[[#This Row],[price]]&gt;R$12,Table1_25[[#This Row],[price]]&lt;S$12),Table1_25[[#This Row],[price]],"")</f>
        <v>7050000</v>
      </c>
    </row>
    <row r="58" spans="1:16">
      <c r="A58" s="11">
        <v>4450000</v>
      </c>
      <c r="B58" s="12">
        <v>4150</v>
      </c>
      <c r="C58" s="12">
        <v>3</v>
      </c>
      <c r="D58" s="12">
        <v>2</v>
      </c>
      <c r="E58" s="12">
        <v>1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2</v>
      </c>
      <c r="L58" s="12">
        <v>0</v>
      </c>
      <c r="M58" s="12">
        <v>0</v>
      </c>
      <c r="N58" s="13">
        <v>1</v>
      </c>
      <c r="O58" s="20"/>
      <c r="P58">
        <f>IF(AND(Table1_25[[#This Row],[price]]&gt;R$12,Table1_25[[#This Row],[price]]&lt;S$12),Table1_25[[#This Row],[price]],"")</f>
        <v>4450000</v>
      </c>
    </row>
    <row r="59" spans="1:16">
      <c r="A59" s="11">
        <v>3650000</v>
      </c>
      <c r="B59" s="12">
        <v>3150</v>
      </c>
      <c r="C59" s="12">
        <v>2</v>
      </c>
      <c r="D59" s="12">
        <v>1</v>
      </c>
      <c r="E59" s="12">
        <v>1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1</v>
      </c>
      <c r="L59" s="12">
        <v>0</v>
      </c>
      <c r="M59" s="12">
        <v>0</v>
      </c>
      <c r="N59" s="13">
        <v>0</v>
      </c>
      <c r="O59" s="20"/>
      <c r="P59">
        <f>IF(AND(Table1_25[[#This Row],[price]]&gt;R$12,Table1_25[[#This Row],[price]]&lt;S$12),Table1_25[[#This Row],[price]],"")</f>
        <v>3650000</v>
      </c>
    </row>
    <row r="60" spans="1:16">
      <c r="A60" s="11">
        <v>7750000</v>
      </c>
      <c r="B60" s="12">
        <v>7100</v>
      </c>
      <c r="C60" s="12">
        <v>5</v>
      </c>
      <c r="D60" s="12">
        <v>3</v>
      </c>
      <c r="E60" s="12">
        <v>3</v>
      </c>
      <c r="F60" s="12">
        <v>1</v>
      </c>
      <c r="G60" s="12">
        <v>1</v>
      </c>
      <c r="H60" s="12">
        <v>1</v>
      </c>
      <c r="I60" s="12">
        <v>0</v>
      </c>
      <c r="J60" s="12">
        <v>1</v>
      </c>
      <c r="K60" s="12">
        <v>3</v>
      </c>
      <c r="L60" s="12">
        <v>1</v>
      </c>
      <c r="M60" s="12">
        <v>1</v>
      </c>
      <c r="N60" s="13">
        <v>0</v>
      </c>
      <c r="O60" s="20"/>
      <c r="P60">
        <f>IF(AND(Table1_25[[#This Row],[price]]&gt;R$12,Table1_25[[#This Row],[price]]&lt;S$12),Table1_25[[#This Row],[price]],"")</f>
        <v>7750000</v>
      </c>
    </row>
    <row r="61" spans="1:16">
      <c r="A61" s="11">
        <v>5250000</v>
      </c>
      <c r="B61" s="12">
        <v>4950</v>
      </c>
      <c r="C61" s="12">
        <v>3</v>
      </c>
      <c r="D61" s="12">
        <v>2</v>
      </c>
      <c r="E61" s="12">
        <v>2</v>
      </c>
      <c r="F61" s="12">
        <v>1</v>
      </c>
      <c r="G61" s="12">
        <v>0</v>
      </c>
      <c r="H61" s="12">
        <v>0</v>
      </c>
      <c r="I61" s="12">
        <v>0</v>
      </c>
      <c r="J61" s="12">
        <v>1</v>
      </c>
      <c r="K61" s="12">
        <v>2</v>
      </c>
      <c r="L61" s="12">
        <v>0</v>
      </c>
      <c r="M61" s="12">
        <v>0</v>
      </c>
      <c r="N61" s="13">
        <v>1</v>
      </c>
      <c r="O61" s="20"/>
      <c r="P61">
        <f>IF(AND(Table1_25[[#This Row],[price]]&gt;R$12,Table1_25[[#This Row],[price]]&lt;S$12),Table1_25[[#This Row],[price]],"")</f>
        <v>5250000</v>
      </c>
    </row>
    <row r="62" spans="1:16">
      <c r="A62" s="11">
        <v>4350000</v>
      </c>
      <c r="B62" s="12">
        <v>4050</v>
      </c>
      <c r="C62" s="12">
        <v>3</v>
      </c>
      <c r="D62" s="12">
        <v>2</v>
      </c>
      <c r="E62" s="12">
        <v>1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1</v>
      </c>
      <c r="L62" s="12">
        <v>0</v>
      </c>
      <c r="M62" s="12">
        <v>0</v>
      </c>
      <c r="N62" s="13">
        <v>0</v>
      </c>
      <c r="O62" s="20"/>
      <c r="P62">
        <f>IF(AND(Table1_25[[#This Row],[price]]&gt;R$12,Table1_25[[#This Row],[price]]&lt;S$12),Table1_25[[#This Row],[price]],"")</f>
        <v>4350000</v>
      </c>
    </row>
    <row r="63" spans="1:16">
      <c r="A63" s="11">
        <v>6550000</v>
      </c>
      <c r="B63" s="12">
        <v>6050</v>
      </c>
      <c r="C63" s="12">
        <v>4</v>
      </c>
      <c r="D63" s="12">
        <v>2</v>
      </c>
      <c r="E63" s="12">
        <v>2</v>
      </c>
      <c r="F63" s="12">
        <v>1</v>
      </c>
      <c r="G63" s="12">
        <v>1</v>
      </c>
      <c r="H63" s="12">
        <v>0</v>
      </c>
      <c r="I63" s="12">
        <v>0</v>
      </c>
      <c r="J63" s="12">
        <v>1</v>
      </c>
      <c r="K63" s="12">
        <v>2</v>
      </c>
      <c r="L63" s="12">
        <v>1</v>
      </c>
      <c r="M63" s="12">
        <v>1</v>
      </c>
      <c r="N63" s="13">
        <v>0</v>
      </c>
      <c r="O63" s="20"/>
      <c r="P63">
        <f>IF(AND(Table1_25[[#This Row],[price]]&gt;R$12,Table1_25[[#This Row],[price]]&lt;S$12),Table1_25[[#This Row],[price]],"")</f>
        <v>6550000</v>
      </c>
    </row>
    <row r="64" spans="1:16">
      <c r="A64" s="11">
        <v>5750000</v>
      </c>
      <c r="B64" s="12">
        <v>5450</v>
      </c>
      <c r="C64" s="12">
        <v>4</v>
      </c>
      <c r="D64" s="12">
        <v>2</v>
      </c>
      <c r="E64" s="12">
        <v>2</v>
      </c>
      <c r="F64" s="12">
        <v>1</v>
      </c>
      <c r="G64" s="12">
        <v>0</v>
      </c>
      <c r="H64" s="12">
        <v>1</v>
      </c>
      <c r="I64" s="12">
        <v>0</v>
      </c>
      <c r="J64" s="12">
        <v>1</v>
      </c>
      <c r="K64" s="12">
        <v>2</v>
      </c>
      <c r="L64" s="12">
        <v>0</v>
      </c>
      <c r="M64" s="12">
        <v>0</v>
      </c>
      <c r="N64" s="13">
        <v>1</v>
      </c>
      <c r="O64" s="20"/>
      <c r="P64">
        <f>IF(AND(Table1_25[[#This Row],[price]]&gt;R$12,Table1_25[[#This Row],[price]]&lt;S$12),Table1_25[[#This Row],[price]],"")</f>
        <v>5750000</v>
      </c>
    </row>
    <row r="65" spans="1:16">
      <c r="A65" s="11">
        <v>4850000</v>
      </c>
      <c r="B65" s="12">
        <v>4450</v>
      </c>
      <c r="C65" s="12">
        <v>3</v>
      </c>
      <c r="D65" s="12">
        <v>2</v>
      </c>
      <c r="E65" s="12">
        <v>2</v>
      </c>
      <c r="F65" s="12">
        <v>1</v>
      </c>
      <c r="G65" s="12">
        <v>0</v>
      </c>
      <c r="H65" s="12">
        <v>0</v>
      </c>
      <c r="I65" s="12">
        <v>0</v>
      </c>
      <c r="J65" s="12">
        <v>0</v>
      </c>
      <c r="K65" s="12">
        <v>2</v>
      </c>
      <c r="L65" s="12">
        <v>0</v>
      </c>
      <c r="M65" s="12">
        <v>0</v>
      </c>
      <c r="N65" s="13">
        <v>1</v>
      </c>
      <c r="O65" s="20"/>
      <c r="P65">
        <f>IF(AND(Table1_25[[#This Row],[price]]&gt;R$12,Table1_25[[#This Row],[price]]&lt;S$12),Table1_25[[#This Row],[price]],"")</f>
        <v>4850000</v>
      </c>
    </row>
    <row r="66" spans="1:16">
      <c r="A66" s="11">
        <v>7350000</v>
      </c>
      <c r="B66" s="12">
        <v>6700</v>
      </c>
      <c r="C66" s="12">
        <v>5</v>
      </c>
      <c r="D66" s="12">
        <v>3</v>
      </c>
      <c r="E66" s="12">
        <v>3</v>
      </c>
      <c r="F66" s="12">
        <v>1</v>
      </c>
      <c r="G66" s="12">
        <v>1</v>
      </c>
      <c r="H66" s="12">
        <v>1</v>
      </c>
      <c r="I66" s="12">
        <v>0</v>
      </c>
      <c r="J66" s="12">
        <v>1</v>
      </c>
      <c r="K66" s="12">
        <v>3</v>
      </c>
      <c r="L66" s="12">
        <v>1</v>
      </c>
      <c r="M66" s="12">
        <v>1</v>
      </c>
      <c r="N66" s="13">
        <v>0</v>
      </c>
      <c r="O66" s="20"/>
      <c r="P66">
        <f>IF(AND(Table1_25[[#This Row],[price]]&gt;R$12,Table1_25[[#This Row],[price]]&lt;S$12),Table1_25[[#This Row],[price]],"")</f>
        <v>7350000</v>
      </c>
    </row>
    <row r="67" spans="1:16">
      <c r="A67" s="11">
        <v>4150000</v>
      </c>
      <c r="B67" s="12">
        <v>3850</v>
      </c>
      <c r="C67" s="12">
        <v>3</v>
      </c>
      <c r="D67" s="12">
        <v>2</v>
      </c>
      <c r="E67" s="12">
        <v>1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1</v>
      </c>
      <c r="L67" s="12">
        <v>0</v>
      </c>
      <c r="M67" s="12">
        <v>0</v>
      </c>
      <c r="N67" s="13">
        <v>0</v>
      </c>
      <c r="O67" s="20"/>
      <c r="P67">
        <f>IF(AND(Table1_25[[#This Row],[price]]&gt;R$12,Table1_25[[#This Row],[price]]&lt;S$12),Table1_25[[#This Row],[price]],"")</f>
        <v>4150000</v>
      </c>
    </row>
    <row r="68" spans="1:16">
      <c r="A68" s="11">
        <v>6850000</v>
      </c>
      <c r="B68" s="12">
        <v>6250</v>
      </c>
      <c r="C68" s="12">
        <v>4</v>
      </c>
      <c r="D68" s="12">
        <v>3</v>
      </c>
      <c r="E68" s="12">
        <v>2</v>
      </c>
      <c r="F68" s="12">
        <v>1</v>
      </c>
      <c r="G68" s="12">
        <v>1</v>
      </c>
      <c r="H68" s="12">
        <v>0</v>
      </c>
      <c r="I68" s="12">
        <v>0</v>
      </c>
      <c r="J68" s="12">
        <v>1</v>
      </c>
      <c r="K68" s="12">
        <v>2</v>
      </c>
      <c r="L68" s="12">
        <v>1</v>
      </c>
      <c r="M68" s="12">
        <v>1</v>
      </c>
      <c r="N68" s="13">
        <v>0</v>
      </c>
      <c r="O68" s="20"/>
      <c r="P68">
        <f>IF(AND(Table1_25[[#This Row],[price]]&gt;R$12,Table1_25[[#This Row],[price]]&lt;S$12),Table1_25[[#This Row],[price]],"")</f>
        <v>6850000</v>
      </c>
    </row>
    <row r="69" spans="1:16">
      <c r="A69" s="11">
        <v>5550000</v>
      </c>
      <c r="B69" s="12">
        <v>5250</v>
      </c>
      <c r="C69" s="12">
        <v>3</v>
      </c>
      <c r="D69" s="12">
        <v>2</v>
      </c>
      <c r="E69" s="12">
        <v>2</v>
      </c>
      <c r="F69" s="12">
        <v>1</v>
      </c>
      <c r="G69" s="12">
        <v>0</v>
      </c>
      <c r="H69" s="12">
        <v>1</v>
      </c>
      <c r="I69" s="12">
        <v>0</v>
      </c>
      <c r="J69" s="12">
        <v>1</v>
      </c>
      <c r="K69" s="12">
        <v>2</v>
      </c>
      <c r="L69" s="12">
        <v>0</v>
      </c>
      <c r="M69" s="12">
        <v>0</v>
      </c>
      <c r="N69" s="13">
        <v>1</v>
      </c>
      <c r="O69" s="20"/>
      <c r="P69">
        <f>IF(AND(Table1_25[[#This Row],[price]]&gt;R$12,Table1_25[[#This Row],[price]]&lt;S$12),Table1_25[[#This Row],[price]],"")</f>
        <v>5550000</v>
      </c>
    </row>
    <row r="70" spans="1:16">
      <c r="A70" s="11">
        <v>3450000</v>
      </c>
      <c r="B70" s="12">
        <v>2950</v>
      </c>
      <c r="C70" s="12">
        <v>2</v>
      </c>
      <c r="D70" s="12">
        <v>1</v>
      </c>
      <c r="E70" s="12">
        <v>1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1</v>
      </c>
      <c r="L70" s="12">
        <v>0</v>
      </c>
      <c r="M70" s="12">
        <v>0</v>
      </c>
      <c r="N70" s="13">
        <v>0</v>
      </c>
      <c r="O70" s="20"/>
      <c r="P70">
        <f>IF(AND(Table1_25[[#This Row],[price]]&gt;R$12,Table1_25[[#This Row],[price]]&lt;S$12),Table1_25[[#This Row],[price]],"")</f>
        <v>3450000</v>
      </c>
    </row>
    <row r="71" spans="1:16">
      <c r="A71" s="11">
        <v>8250000</v>
      </c>
      <c r="B71" s="12">
        <v>7600</v>
      </c>
      <c r="C71" s="12">
        <v>5</v>
      </c>
      <c r="D71" s="12">
        <v>4</v>
      </c>
      <c r="E71" s="12">
        <v>3</v>
      </c>
      <c r="F71" s="12">
        <v>1</v>
      </c>
      <c r="G71" s="12">
        <v>1</v>
      </c>
      <c r="H71" s="12">
        <v>1</v>
      </c>
      <c r="I71" s="12">
        <v>0</v>
      </c>
      <c r="J71" s="12">
        <v>1</v>
      </c>
      <c r="K71" s="12">
        <v>3</v>
      </c>
      <c r="L71" s="12">
        <v>1</v>
      </c>
      <c r="M71" s="12">
        <v>1</v>
      </c>
      <c r="N71" s="13">
        <v>0</v>
      </c>
      <c r="O71" s="20"/>
      <c r="P71">
        <f>IF(AND(Table1_25[[#This Row],[price]]&gt;R$12,Table1_25[[#This Row],[price]]&lt;S$12),Table1_25[[#This Row],[price]],"")</f>
        <v>8250000</v>
      </c>
    </row>
    <row r="72" spans="1:16">
      <c r="A72" s="11">
        <v>28000000</v>
      </c>
      <c r="B72" s="12">
        <v>9800</v>
      </c>
      <c r="C72" s="12">
        <v>6</v>
      </c>
      <c r="D72" s="12">
        <v>5</v>
      </c>
      <c r="E72" s="12">
        <v>4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4</v>
      </c>
      <c r="L72" s="12">
        <v>1</v>
      </c>
      <c r="M72" s="12">
        <v>1</v>
      </c>
      <c r="N72" s="13">
        <v>0</v>
      </c>
      <c r="O72" s="20"/>
      <c r="P72" t="str">
        <f>IF(AND(Table1_25[[#This Row],[price]]&gt;R$12,Table1_25[[#This Row],[price]]&lt;S$12),Table1_25[[#This Row],[price]],"")</f>
        <v/>
      </c>
    </row>
    <row r="73" spans="1:16">
      <c r="A73" s="11">
        <v>36000000</v>
      </c>
      <c r="B73" s="12">
        <v>11800</v>
      </c>
      <c r="C73" s="12">
        <v>7</v>
      </c>
      <c r="D73" s="12">
        <v>6</v>
      </c>
      <c r="E73" s="12">
        <v>5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5</v>
      </c>
      <c r="L73" s="12">
        <v>1</v>
      </c>
      <c r="M73" s="12">
        <v>1</v>
      </c>
      <c r="N73" s="13">
        <v>0</v>
      </c>
      <c r="O73" s="20"/>
      <c r="P73" t="str">
        <f>IF(AND(Table1_25[[#This Row],[price]]&gt;R$12,Table1_25[[#This Row],[price]]&lt;S$12),Table1_25[[#This Row],[price]],"")</f>
        <v/>
      </c>
    </row>
    <row r="74" spans="1:16">
      <c r="A74" s="11">
        <v>45000000</v>
      </c>
      <c r="B74" s="12">
        <v>14500</v>
      </c>
      <c r="C74" s="12">
        <v>8</v>
      </c>
      <c r="D74" s="12">
        <v>7</v>
      </c>
      <c r="E74" s="12">
        <v>6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6</v>
      </c>
      <c r="L74" s="12">
        <v>1</v>
      </c>
      <c r="M74" s="12">
        <v>1</v>
      </c>
      <c r="N74" s="13">
        <v>0</v>
      </c>
      <c r="O74" s="20"/>
      <c r="P74" t="str">
        <f>IF(AND(Table1_25[[#This Row],[price]]&gt;R$12,Table1_25[[#This Row],[price]]&lt;S$12),Table1_25[[#This Row],[price]],"")</f>
        <v/>
      </c>
    </row>
    <row r="75" spans="1:16">
      <c r="A75" s="11">
        <v>52000000</v>
      </c>
      <c r="B75" s="12">
        <v>17000</v>
      </c>
      <c r="C75" s="12">
        <v>9</v>
      </c>
      <c r="D75" s="12">
        <v>8</v>
      </c>
      <c r="E75" s="12">
        <v>7</v>
      </c>
      <c r="F75" s="12">
        <v>1</v>
      </c>
      <c r="G75" s="12">
        <v>1</v>
      </c>
      <c r="H75" s="12">
        <v>1</v>
      </c>
      <c r="I75" s="12">
        <v>1</v>
      </c>
      <c r="J75" s="12">
        <v>1</v>
      </c>
      <c r="K75" s="12">
        <v>7</v>
      </c>
      <c r="L75" s="12">
        <v>1</v>
      </c>
      <c r="M75" s="12">
        <v>1</v>
      </c>
      <c r="N75" s="13">
        <v>0</v>
      </c>
      <c r="O75" s="20"/>
      <c r="P75" t="str">
        <f>IF(AND(Table1_25[[#This Row],[price]]&gt;R$12,Table1_25[[#This Row],[price]]&lt;S$12),Table1_25[[#This Row],[price]],"")</f>
        <v/>
      </c>
    </row>
    <row r="76" spans="1:16">
      <c r="A76" s="11">
        <v>29500000</v>
      </c>
      <c r="B76" s="12">
        <v>10200</v>
      </c>
      <c r="C76" s="12">
        <v>6</v>
      </c>
      <c r="D76" s="12">
        <v>5</v>
      </c>
      <c r="E76" s="12">
        <v>4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4</v>
      </c>
      <c r="L76" s="12">
        <v>1</v>
      </c>
      <c r="M76" s="12">
        <v>1</v>
      </c>
      <c r="N76" s="13">
        <v>0</v>
      </c>
      <c r="O76" s="20"/>
      <c r="P76" t="str">
        <f>IF(AND(Table1_25[[#This Row],[price]]&gt;R$12,Table1_25[[#This Row],[price]]&lt;S$12),Table1_25[[#This Row],[price]],"")</f>
        <v/>
      </c>
    </row>
    <row r="77" spans="1:16">
      <c r="A77" s="11">
        <v>4700000</v>
      </c>
      <c r="B77" s="12">
        <v>4250</v>
      </c>
      <c r="C77" s="12">
        <v>3</v>
      </c>
      <c r="D77" s="12">
        <v>2</v>
      </c>
      <c r="E77" s="12">
        <v>2</v>
      </c>
      <c r="F77" s="12">
        <v>1</v>
      </c>
      <c r="G77" s="12">
        <v>0</v>
      </c>
      <c r="H77" s="12">
        <v>0</v>
      </c>
      <c r="I77" s="12">
        <v>0</v>
      </c>
      <c r="J77" s="12">
        <v>1</v>
      </c>
      <c r="K77" s="12">
        <v>2</v>
      </c>
      <c r="L77" s="12">
        <v>0</v>
      </c>
      <c r="M77" s="12">
        <v>0</v>
      </c>
      <c r="N77" s="13">
        <v>1</v>
      </c>
      <c r="O77" s="20"/>
      <c r="P77">
        <f>IF(AND(Table1_25[[#This Row],[price]]&gt;R$12,Table1_25[[#This Row],[price]]&lt;S$12),Table1_25[[#This Row],[price]],"")</f>
        <v>4700000</v>
      </c>
    </row>
    <row r="78" spans="1:16">
      <c r="A78" s="11">
        <v>6050000</v>
      </c>
      <c r="B78" s="12">
        <v>5750</v>
      </c>
      <c r="C78" s="12">
        <v>4</v>
      </c>
      <c r="D78" s="12">
        <v>3</v>
      </c>
      <c r="E78" s="12">
        <v>2</v>
      </c>
      <c r="F78" s="12">
        <v>1</v>
      </c>
      <c r="G78" s="12">
        <v>1</v>
      </c>
      <c r="H78" s="12">
        <v>0</v>
      </c>
      <c r="I78" s="12">
        <v>0</v>
      </c>
      <c r="J78" s="12">
        <v>1</v>
      </c>
      <c r="K78" s="12">
        <v>2</v>
      </c>
      <c r="L78" s="12">
        <v>1</v>
      </c>
      <c r="M78" s="12">
        <v>1</v>
      </c>
      <c r="N78" s="13">
        <v>0</v>
      </c>
      <c r="O78" s="20"/>
      <c r="P78">
        <f>IF(AND(Table1_25[[#This Row],[price]]&gt;R$12,Table1_25[[#This Row],[price]]&lt;S$12),Table1_25[[#This Row],[price]],"")</f>
        <v>6050000</v>
      </c>
    </row>
    <row r="79" spans="1:16">
      <c r="A79" s="11">
        <v>5100000</v>
      </c>
      <c r="B79" s="12">
        <v>4850</v>
      </c>
      <c r="C79" s="12">
        <v>3</v>
      </c>
      <c r="D79" s="12">
        <v>2</v>
      </c>
      <c r="E79" s="12">
        <v>2</v>
      </c>
      <c r="F79" s="12">
        <v>1</v>
      </c>
      <c r="G79" s="12">
        <v>0</v>
      </c>
      <c r="H79" s="12">
        <v>1</v>
      </c>
      <c r="I79" s="12">
        <v>0</v>
      </c>
      <c r="J79" s="12">
        <v>1</v>
      </c>
      <c r="K79" s="12">
        <v>2</v>
      </c>
      <c r="L79" s="12">
        <v>0</v>
      </c>
      <c r="M79" s="12">
        <v>0</v>
      </c>
      <c r="N79" s="13">
        <v>1</v>
      </c>
      <c r="O79" s="20"/>
      <c r="P79">
        <f>IF(AND(Table1_25[[#This Row],[price]]&gt;R$12,Table1_25[[#This Row],[price]]&lt;S$12),Table1_25[[#This Row],[price]],"")</f>
        <v>5100000</v>
      </c>
    </row>
    <row r="80" spans="1:16">
      <c r="A80" s="11">
        <v>3950000</v>
      </c>
      <c r="B80" s="12">
        <v>3350</v>
      </c>
      <c r="C80" s="12">
        <v>2</v>
      </c>
      <c r="D80" s="12">
        <v>1</v>
      </c>
      <c r="E80" s="12">
        <v>1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1</v>
      </c>
      <c r="L80" s="12">
        <v>0</v>
      </c>
      <c r="M80" s="12">
        <v>0</v>
      </c>
      <c r="N80" s="13">
        <v>0</v>
      </c>
      <c r="O80" s="20"/>
      <c r="P80">
        <f>IF(AND(Table1_25[[#This Row],[price]]&gt;R$12,Table1_25[[#This Row],[price]]&lt;S$12),Table1_25[[#This Row],[price]],"")</f>
        <v>3950000</v>
      </c>
    </row>
    <row r="81" spans="1:16">
      <c r="A81" s="11">
        <v>7600000</v>
      </c>
      <c r="B81" s="12">
        <v>6950</v>
      </c>
      <c r="C81" s="12">
        <v>5</v>
      </c>
      <c r="D81" s="12">
        <v>3</v>
      </c>
      <c r="E81" s="12">
        <v>3</v>
      </c>
      <c r="F81" s="12">
        <v>1</v>
      </c>
      <c r="G81" s="12">
        <v>1</v>
      </c>
      <c r="H81" s="12">
        <v>1</v>
      </c>
      <c r="I81" s="12">
        <v>0</v>
      </c>
      <c r="J81" s="12">
        <v>1</v>
      </c>
      <c r="K81" s="12">
        <v>3</v>
      </c>
      <c r="L81" s="12">
        <v>1</v>
      </c>
      <c r="M81" s="12">
        <v>1</v>
      </c>
      <c r="N81" s="13">
        <v>0</v>
      </c>
      <c r="O81" s="20"/>
      <c r="P81">
        <f>IF(AND(Table1_25[[#This Row],[price]]&gt;R$12,Table1_25[[#This Row],[price]]&lt;S$12),Table1_25[[#This Row],[price]],"")</f>
        <v>7600000</v>
      </c>
    </row>
    <row r="82" spans="1:16">
      <c r="A82" s="11">
        <v>4800000</v>
      </c>
      <c r="B82" s="12">
        <v>4450</v>
      </c>
      <c r="C82" s="12">
        <v>3</v>
      </c>
      <c r="D82" s="12">
        <v>2</v>
      </c>
      <c r="E82" s="12">
        <v>2</v>
      </c>
      <c r="F82" s="12">
        <v>1</v>
      </c>
      <c r="G82" s="12">
        <v>0</v>
      </c>
      <c r="H82" s="12">
        <v>0</v>
      </c>
      <c r="I82" s="12">
        <v>0</v>
      </c>
      <c r="J82" s="12">
        <v>1</v>
      </c>
      <c r="K82" s="12">
        <v>2</v>
      </c>
      <c r="L82" s="12">
        <v>0</v>
      </c>
      <c r="M82" s="12">
        <v>0</v>
      </c>
      <c r="N82" s="13">
        <v>1</v>
      </c>
      <c r="O82" s="20"/>
      <c r="P82">
        <f>IF(AND(Table1_25[[#This Row],[price]]&gt;R$12,Table1_25[[#This Row],[price]]&lt;S$12),Table1_25[[#This Row],[price]],"")</f>
        <v>4800000</v>
      </c>
    </row>
    <row r="83" spans="1:16">
      <c r="A83" s="11">
        <v>5700000</v>
      </c>
      <c r="B83" s="12">
        <v>5350</v>
      </c>
      <c r="C83" s="12">
        <v>4</v>
      </c>
      <c r="D83" s="12">
        <v>2</v>
      </c>
      <c r="E83" s="12">
        <v>2</v>
      </c>
      <c r="F83" s="12">
        <v>1</v>
      </c>
      <c r="G83" s="12">
        <v>1</v>
      </c>
      <c r="H83" s="12">
        <v>0</v>
      </c>
      <c r="I83" s="12">
        <v>0</v>
      </c>
      <c r="J83" s="12">
        <v>1</v>
      </c>
      <c r="K83" s="12">
        <v>2</v>
      </c>
      <c r="L83" s="12">
        <v>1</v>
      </c>
      <c r="M83" s="12">
        <v>1</v>
      </c>
      <c r="N83" s="13">
        <v>0</v>
      </c>
      <c r="O83" s="20"/>
      <c r="P83">
        <f>IF(AND(Table1_25[[#This Row],[price]]&gt;R$12,Table1_25[[#This Row],[price]]&lt;S$12),Table1_25[[#This Row],[price]],"")</f>
        <v>5700000</v>
      </c>
    </row>
    <row r="84" spans="1:16">
      <c r="A84" s="11">
        <v>3600000</v>
      </c>
      <c r="B84" s="12">
        <v>3100</v>
      </c>
      <c r="C84" s="12">
        <v>2</v>
      </c>
      <c r="D84" s="12">
        <v>1</v>
      </c>
      <c r="E84" s="12">
        <v>1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1</v>
      </c>
      <c r="L84" s="12">
        <v>0</v>
      </c>
      <c r="M84" s="12">
        <v>0</v>
      </c>
      <c r="N84" s="13">
        <v>0</v>
      </c>
      <c r="O84" s="20"/>
      <c r="P84">
        <f>IF(AND(Table1_25[[#This Row],[price]]&gt;R$12,Table1_25[[#This Row],[price]]&lt;S$12),Table1_25[[#This Row],[price]],"")</f>
        <v>3600000</v>
      </c>
    </row>
    <row r="85" spans="1:16">
      <c r="A85" s="11">
        <v>6900000</v>
      </c>
      <c r="B85" s="12">
        <v>6300</v>
      </c>
      <c r="C85" s="12">
        <v>4</v>
      </c>
      <c r="D85" s="12">
        <v>3</v>
      </c>
      <c r="E85" s="12">
        <v>3</v>
      </c>
      <c r="F85" s="12">
        <v>1</v>
      </c>
      <c r="G85" s="12">
        <v>1</v>
      </c>
      <c r="H85" s="12">
        <v>1</v>
      </c>
      <c r="I85" s="12">
        <v>0</v>
      </c>
      <c r="J85" s="12">
        <v>1</v>
      </c>
      <c r="K85" s="12">
        <v>3</v>
      </c>
      <c r="L85" s="12">
        <v>1</v>
      </c>
      <c r="M85" s="12">
        <v>1</v>
      </c>
      <c r="N85" s="13">
        <v>0</v>
      </c>
      <c r="O85" s="20"/>
      <c r="P85">
        <f>IF(AND(Table1_25[[#This Row],[price]]&gt;R$12,Table1_25[[#This Row],[price]]&lt;S$12),Table1_25[[#This Row],[price]],"")</f>
        <v>6900000</v>
      </c>
    </row>
    <row r="86" spans="1:16">
      <c r="A86" s="11">
        <v>5100000</v>
      </c>
      <c r="B86" s="12">
        <v>4750</v>
      </c>
      <c r="C86" s="12">
        <v>3</v>
      </c>
      <c r="D86" s="12">
        <v>2</v>
      </c>
      <c r="E86" s="12">
        <v>2</v>
      </c>
      <c r="F86" s="12">
        <v>1</v>
      </c>
      <c r="G86" s="12">
        <v>0</v>
      </c>
      <c r="H86" s="12">
        <v>1</v>
      </c>
      <c r="I86" s="12">
        <v>0</v>
      </c>
      <c r="J86" s="12">
        <v>1</v>
      </c>
      <c r="K86" s="12">
        <v>2</v>
      </c>
      <c r="L86" s="12">
        <v>0</v>
      </c>
      <c r="M86" s="12">
        <v>0</v>
      </c>
      <c r="N86" s="13">
        <v>1</v>
      </c>
      <c r="O86" s="20"/>
      <c r="P86">
        <f>IF(AND(Table1_25[[#This Row],[price]]&gt;R$12,Table1_25[[#This Row],[price]]&lt;S$12),Table1_25[[#This Row],[price]],"")</f>
        <v>5100000</v>
      </c>
    </row>
    <row r="87" spans="1:16">
      <c r="A87" s="11">
        <v>7400000</v>
      </c>
      <c r="B87" s="12">
        <v>6750</v>
      </c>
      <c r="C87" s="12">
        <v>5</v>
      </c>
      <c r="D87" s="12">
        <v>3</v>
      </c>
      <c r="E87" s="12">
        <v>3</v>
      </c>
      <c r="F87" s="12">
        <v>1</v>
      </c>
      <c r="G87" s="12">
        <v>1</v>
      </c>
      <c r="H87" s="12">
        <v>0</v>
      </c>
      <c r="I87" s="12">
        <v>0</v>
      </c>
      <c r="J87" s="12">
        <v>1</v>
      </c>
      <c r="K87" s="12">
        <v>3</v>
      </c>
      <c r="L87" s="12">
        <v>1</v>
      </c>
      <c r="M87" s="12">
        <v>1</v>
      </c>
      <c r="N87" s="13">
        <v>0</v>
      </c>
      <c r="O87" s="20"/>
      <c r="P87">
        <f>IF(AND(Table1_25[[#This Row],[price]]&gt;R$12,Table1_25[[#This Row],[price]]&lt;S$12),Table1_25[[#This Row],[price]],"")</f>
        <v>7400000</v>
      </c>
    </row>
    <row r="88" spans="1:16">
      <c r="A88" s="11">
        <v>4300000</v>
      </c>
      <c r="B88" s="12">
        <v>3950</v>
      </c>
      <c r="C88" s="12">
        <v>3</v>
      </c>
      <c r="D88" s="12">
        <v>2</v>
      </c>
      <c r="E88" s="12">
        <v>1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2</v>
      </c>
      <c r="L88" s="12">
        <v>0</v>
      </c>
      <c r="M88" s="12">
        <v>0</v>
      </c>
      <c r="N88" s="13">
        <v>0</v>
      </c>
      <c r="O88" s="20"/>
      <c r="P88">
        <f>IF(AND(Table1_25[[#This Row],[price]]&gt;R$12,Table1_25[[#This Row],[price]]&lt;S$12),Table1_25[[#This Row],[price]],"")</f>
        <v>4300000</v>
      </c>
    </row>
    <row r="89" spans="1:16">
      <c r="A89" s="11">
        <v>3850000</v>
      </c>
      <c r="B89" s="12">
        <v>3400</v>
      </c>
      <c r="C89" s="12">
        <v>2</v>
      </c>
      <c r="D89" s="12">
        <v>1</v>
      </c>
      <c r="E89" s="12">
        <v>1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1</v>
      </c>
      <c r="L89" s="12">
        <v>0</v>
      </c>
      <c r="M89" s="12">
        <v>0</v>
      </c>
      <c r="N89" s="13">
        <v>0</v>
      </c>
      <c r="O89" s="20"/>
      <c r="P89">
        <f>IF(AND(Table1_25[[#This Row],[price]]&gt;R$12,Table1_25[[#This Row],[price]]&lt;S$12),Table1_25[[#This Row],[price]],"")</f>
        <v>3850000</v>
      </c>
    </row>
    <row r="90" spans="1:16">
      <c r="A90" s="11">
        <v>7900000</v>
      </c>
      <c r="B90" s="12">
        <v>7300</v>
      </c>
      <c r="C90" s="12">
        <v>5</v>
      </c>
      <c r="D90" s="12">
        <v>4</v>
      </c>
      <c r="E90" s="12">
        <v>3</v>
      </c>
      <c r="F90" s="12">
        <v>1</v>
      </c>
      <c r="G90" s="12">
        <v>1</v>
      </c>
      <c r="H90" s="12">
        <v>1</v>
      </c>
      <c r="I90" s="12">
        <v>0</v>
      </c>
      <c r="J90" s="12">
        <v>1</v>
      </c>
      <c r="K90" s="12">
        <v>3</v>
      </c>
      <c r="L90" s="12">
        <v>1</v>
      </c>
      <c r="M90" s="12">
        <v>1</v>
      </c>
      <c r="N90" s="13">
        <v>0</v>
      </c>
      <c r="O90" s="20"/>
      <c r="P90">
        <f>IF(AND(Table1_25[[#This Row],[price]]&gt;R$12,Table1_25[[#This Row],[price]]&lt;S$12),Table1_25[[#This Row],[price]],"")</f>
        <v>7900000</v>
      </c>
    </row>
    <row r="91" spans="1:16">
      <c r="A91" s="11">
        <v>5300000</v>
      </c>
      <c r="B91" s="12">
        <v>4900</v>
      </c>
      <c r="C91" s="12">
        <v>3</v>
      </c>
      <c r="D91" s="12">
        <v>2</v>
      </c>
      <c r="E91" s="12">
        <v>2</v>
      </c>
      <c r="F91" s="12">
        <v>1</v>
      </c>
      <c r="G91" s="12">
        <v>0</v>
      </c>
      <c r="H91" s="12">
        <v>0</v>
      </c>
      <c r="I91" s="12">
        <v>0</v>
      </c>
      <c r="J91" s="12">
        <v>1</v>
      </c>
      <c r="K91" s="12">
        <v>2</v>
      </c>
      <c r="L91" s="12">
        <v>0</v>
      </c>
      <c r="M91" s="12">
        <v>0</v>
      </c>
      <c r="N91" s="13">
        <v>1</v>
      </c>
      <c r="O91" s="20"/>
      <c r="P91">
        <f>IF(AND(Table1_25[[#This Row],[price]]&gt;R$12,Table1_25[[#This Row],[price]]&lt;S$12),Table1_25[[#This Row],[price]],"")</f>
        <v>5300000</v>
      </c>
    </row>
    <row r="92" spans="1:16">
      <c r="A92" s="11">
        <v>4550000</v>
      </c>
      <c r="B92" s="12">
        <v>4200</v>
      </c>
      <c r="C92" s="12">
        <v>3</v>
      </c>
      <c r="D92" s="12">
        <v>2</v>
      </c>
      <c r="E92" s="12">
        <v>1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2</v>
      </c>
      <c r="L92" s="12">
        <v>0</v>
      </c>
      <c r="M92" s="12">
        <v>0</v>
      </c>
      <c r="N92" s="13">
        <v>1</v>
      </c>
      <c r="O92" s="20"/>
      <c r="P92">
        <f>IF(AND(Table1_25[[#This Row],[price]]&gt;R$12,Table1_25[[#This Row],[price]]&lt;S$12),Table1_25[[#This Row],[price]],"")</f>
        <v>4550000</v>
      </c>
    </row>
    <row r="93" spans="1:16">
      <c r="A93" s="11">
        <v>6200000</v>
      </c>
      <c r="B93" s="12">
        <v>5850</v>
      </c>
      <c r="C93" s="12">
        <v>4</v>
      </c>
      <c r="D93" s="12">
        <v>3</v>
      </c>
      <c r="E93" s="12">
        <v>2</v>
      </c>
      <c r="F93" s="12">
        <v>1</v>
      </c>
      <c r="G93" s="12">
        <v>1</v>
      </c>
      <c r="H93" s="12">
        <v>0</v>
      </c>
      <c r="I93" s="12">
        <v>0</v>
      </c>
      <c r="J93" s="12">
        <v>1</v>
      </c>
      <c r="K93" s="12">
        <v>2</v>
      </c>
      <c r="L93" s="12">
        <v>1</v>
      </c>
      <c r="M93" s="12">
        <v>1</v>
      </c>
      <c r="N93" s="13">
        <v>0</v>
      </c>
      <c r="O93" s="20"/>
      <c r="P93">
        <f>IF(AND(Table1_25[[#This Row],[price]]&gt;R$12,Table1_25[[#This Row],[price]]&lt;S$12),Table1_25[[#This Row],[price]],"")</f>
        <v>6200000</v>
      </c>
    </row>
    <row r="94" spans="1:16">
      <c r="A94" s="11">
        <v>5500000</v>
      </c>
      <c r="B94" s="12">
        <v>5150</v>
      </c>
      <c r="C94" s="12">
        <v>3</v>
      </c>
      <c r="D94" s="12">
        <v>2</v>
      </c>
      <c r="E94" s="12">
        <v>2</v>
      </c>
      <c r="F94" s="12">
        <v>1</v>
      </c>
      <c r="G94" s="12">
        <v>0</v>
      </c>
      <c r="H94" s="12">
        <v>1</v>
      </c>
      <c r="I94" s="12">
        <v>0</v>
      </c>
      <c r="J94" s="12">
        <v>1</v>
      </c>
      <c r="K94" s="12">
        <v>2</v>
      </c>
      <c r="L94" s="12">
        <v>0</v>
      </c>
      <c r="M94" s="12">
        <v>0</v>
      </c>
      <c r="N94" s="13">
        <v>1</v>
      </c>
      <c r="O94" s="20"/>
      <c r="P94">
        <f>IF(AND(Table1_25[[#This Row],[price]]&gt;R$12,Table1_25[[#This Row],[price]]&lt;S$12),Table1_25[[#This Row],[price]],"")</f>
        <v>5500000</v>
      </c>
    </row>
    <row r="95" spans="1:16">
      <c r="A95" s="11">
        <v>4700000</v>
      </c>
      <c r="B95" s="12">
        <v>4350</v>
      </c>
      <c r="C95" s="12">
        <v>3</v>
      </c>
      <c r="D95" s="12">
        <v>2</v>
      </c>
      <c r="E95" s="12">
        <v>2</v>
      </c>
      <c r="F95" s="12">
        <v>1</v>
      </c>
      <c r="G95" s="12">
        <v>0</v>
      </c>
      <c r="H95" s="12">
        <v>0</v>
      </c>
      <c r="I95" s="12">
        <v>0</v>
      </c>
      <c r="J95" s="12">
        <v>0</v>
      </c>
      <c r="K95" s="12">
        <v>2</v>
      </c>
      <c r="L95" s="12">
        <v>0</v>
      </c>
      <c r="M95" s="12">
        <v>0</v>
      </c>
      <c r="N95" s="13">
        <v>1</v>
      </c>
      <c r="O95" s="20"/>
      <c r="P95">
        <f>IF(AND(Table1_25[[#This Row],[price]]&gt;R$12,Table1_25[[#This Row],[price]]&lt;S$12),Table1_25[[#This Row],[price]],"")</f>
        <v>4700000</v>
      </c>
    </row>
    <row r="96" spans="1:16">
      <c r="A96" s="11">
        <v>7150000</v>
      </c>
      <c r="B96" s="12">
        <v>6500</v>
      </c>
      <c r="C96" s="12">
        <v>5</v>
      </c>
      <c r="D96" s="12">
        <v>3</v>
      </c>
      <c r="E96" s="12">
        <v>3</v>
      </c>
      <c r="F96" s="12">
        <v>1</v>
      </c>
      <c r="G96" s="12">
        <v>1</v>
      </c>
      <c r="H96" s="12">
        <v>1</v>
      </c>
      <c r="I96" s="12">
        <v>0</v>
      </c>
      <c r="J96" s="12">
        <v>1</v>
      </c>
      <c r="K96" s="12">
        <v>3</v>
      </c>
      <c r="L96" s="12">
        <v>1</v>
      </c>
      <c r="M96" s="12">
        <v>1</v>
      </c>
      <c r="N96" s="13">
        <v>0</v>
      </c>
      <c r="O96" s="20"/>
      <c r="P96">
        <f>IF(AND(Table1_25[[#This Row],[price]]&gt;R$12,Table1_25[[#This Row],[price]]&lt;S$12),Table1_25[[#This Row],[price]],"")</f>
        <v>7150000</v>
      </c>
    </row>
    <row r="97" spans="1:16">
      <c r="A97" s="11">
        <v>4050000</v>
      </c>
      <c r="B97" s="12">
        <v>3700</v>
      </c>
      <c r="C97" s="12">
        <v>3</v>
      </c>
      <c r="D97" s="12">
        <v>2</v>
      </c>
      <c r="E97" s="12">
        <v>1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1</v>
      </c>
      <c r="L97" s="12">
        <v>0</v>
      </c>
      <c r="M97" s="12">
        <v>0</v>
      </c>
      <c r="N97" s="13">
        <v>0</v>
      </c>
      <c r="O97" s="20"/>
      <c r="P97">
        <f>IF(AND(Table1_25[[#This Row],[price]]&gt;R$12,Table1_25[[#This Row],[price]]&lt;S$12),Table1_25[[#This Row],[price]],"")</f>
        <v>4050000</v>
      </c>
    </row>
    <row r="98" spans="1:16">
      <c r="A98" s="11">
        <v>6650000</v>
      </c>
      <c r="B98" s="12">
        <v>6150</v>
      </c>
      <c r="C98" s="12">
        <v>4</v>
      </c>
      <c r="D98" s="12">
        <v>3</v>
      </c>
      <c r="E98" s="12">
        <v>2</v>
      </c>
      <c r="F98" s="12">
        <v>1</v>
      </c>
      <c r="G98" s="12">
        <v>1</v>
      </c>
      <c r="H98" s="12">
        <v>0</v>
      </c>
      <c r="I98" s="12">
        <v>0</v>
      </c>
      <c r="J98" s="12">
        <v>1</v>
      </c>
      <c r="K98" s="12">
        <v>2</v>
      </c>
      <c r="L98" s="12">
        <v>1</v>
      </c>
      <c r="M98" s="12">
        <v>1</v>
      </c>
      <c r="N98" s="13">
        <v>0</v>
      </c>
      <c r="O98" s="20"/>
      <c r="P98">
        <f>IF(AND(Table1_25[[#This Row],[price]]&gt;R$12,Table1_25[[#This Row],[price]]&lt;S$12),Table1_25[[#This Row],[price]],"")</f>
        <v>6650000</v>
      </c>
    </row>
    <row r="99" spans="1:16">
      <c r="A99" s="11">
        <v>5850000</v>
      </c>
      <c r="B99" s="12">
        <v>5450</v>
      </c>
      <c r="C99" s="12">
        <v>4</v>
      </c>
      <c r="D99" s="12">
        <v>2</v>
      </c>
      <c r="E99" s="12">
        <v>2</v>
      </c>
      <c r="F99" s="12">
        <v>1</v>
      </c>
      <c r="G99" s="12">
        <v>0</v>
      </c>
      <c r="H99" s="12">
        <v>1</v>
      </c>
      <c r="I99" s="12">
        <v>0</v>
      </c>
      <c r="J99" s="12">
        <v>1</v>
      </c>
      <c r="K99" s="12">
        <v>2</v>
      </c>
      <c r="L99" s="12">
        <v>0</v>
      </c>
      <c r="M99" s="12">
        <v>0</v>
      </c>
      <c r="N99" s="13">
        <v>1</v>
      </c>
      <c r="O99" s="20"/>
      <c r="P99">
        <f>IF(AND(Table1_25[[#This Row],[price]]&gt;R$12,Table1_25[[#This Row],[price]]&lt;S$12),Table1_25[[#This Row],[price]],"")</f>
        <v>5850000</v>
      </c>
    </row>
    <row r="100" spans="1:16">
      <c r="A100" s="11">
        <v>3500000</v>
      </c>
      <c r="B100" s="12">
        <v>3000</v>
      </c>
      <c r="C100" s="12">
        <v>2</v>
      </c>
      <c r="D100" s="12">
        <v>1</v>
      </c>
      <c r="E100" s="12">
        <v>1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1</v>
      </c>
      <c r="L100" s="12">
        <v>0</v>
      </c>
      <c r="M100" s="12">
        <v>0</v>
      </c>
      <c r="N100" s="13">
        <v>0</v>
      </c>
      <c r="O100" s="20"/>
      <c r="P100">
        <f>IF(AND(Table1_25[[#This Row],[price]]&gt;R$12,Table1_25[[#This Row],[price]]&lt;S$12),Table1_25[[#This Row],[price]],"")</f>
        <v>3500000</v>
      </c>
    </row>
    <row r="101" spans="1:16">
      <c r="A101" s="11">
        <v>8450000</v>
      </c>
      <c r="B101" s="12">
        <v>7800</v>
      </c>
      <c r="C101" s="12">
        <v>5</v>
      </c>
      <c r="D101" s="12">
        <v>4</v>
      </c>
      <c r="E101" s="12">
        <v>3</v>
      </c>
      <c r="F101" s="12">
        <v>1</v>
      </c>
      <c r="G101" s="12">
        <v>1</v>
      </c>
      <c r="H101" s="12">
        <v>1</v>
      </c>
      <c r="I101" s="12">
        <v>0</v>
      </c>
      <c r="J101" s="12">
        <v>1</v>
      </c>
      <c r="K101" s="12">
        <v>3</v>
      </c>
      <c r="L101" s="12">
        <v>1</v>
      </c>
      <c r="M101" s="12">
        <v>1</v>
      </c>
      <c r="N101" s="13">
        <v>0</v>
      </c>
      <c r="O101" s="20"/>
      <c r="P101">
        <f>IF(AND(Table1_25[[#This Row],[price]]&gt;R$12,Table1_25[[#This Row],[price]]&lt;S$12),Table1_25[[#This Row],[price]],"")</f>
        <v>8450000</v>
      </c>
    </row>
    <row r="102" spans="1:16">
      <c r="A102" s="11">
        <v>26500000</v>
      </c>
      <c r="B102" s="12">
        <v>9600</v>
      </c>
      <c r="C102" s="12">
        <v>6</v>
      </c>
      <c r="D102" s="12">
        <v>5</v>
      </c>
      <c r="E102" s="12">
        <v>4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4</v>
      </c>
      <c r="L102" s="12">
        <v>1</v>
      </c>
      <c r="M102" s="12">
        <v>1</v>
      </c>
      <c r="N102" s="13">
        <v>0</v>
      </c>
      <c r="O102" s="20"/>
      <c r="P102" t="str">
        <f>IF(AND(Table1_25[[#This Row],[price]]&gt;R$12,Table1_25[[#This Row],[price]]&lt;S$12),Table1_25[[#This Row],[price]],"")</f>
        <v/>
      </c>
    </row>
    <row r="103" spans="1:16">
      <c r="A103" s="11">
        <v>34000000</v>
      </c>
      <c r="B103" s="12">
        <v>11500</v>
      </c>
      <c r="C103" s="12">
        <v>7</v>
      </c>
      <c r="D103" s="12">
        <v>6</v>
      </c>
      <c r="E103" s="12">
        <v>5</v>
      </c>
      <c r="F103" s="12">
        <v>1</v>
      </c>
      <c r="G103" s="12">
        <v>1</v>
      </c>
      <c r="H103" s="12">
        <v>1</v>
      </c>
      <c r="I103" s="12">
        <v>1</v>
      </c>
      <c r="J103" s="12">
        <v>1</v>
      </c>
      <c r="K103" s="12">
        <v>5</v>
      </c>
      <c r="L103" s="12">
        <v>1</v>
      </c>
      <c r="M103" s="12">
        <v>1</v>
      </c>
      <c r="N103" s="13">
        <v>0</v>
      </c>
      <c r="O103" s="20"/>
      <c r="P103" t="str">
        <f>IF(AND(Table1_25[[#This Row],[price]]&gt;R$12,Table1_25[[#This Row],[price]]&lt;S$12),Table1_25[[#This Row],[price]],"")</f>
        <v/>
      </c>
    </row>
    <row r="104" spans="1:16">
      <c r="A104" s="11">
        <v>47000000</v>
      </c>
      <c r="B104" s="12">
        <v>15000</v>
      </c>
      <c r="C104" s="12">
        <v>8</v>
      </c>
      <c r="D104" s="12">
        <v>7</v>
      </c>
      <c r="E104" s="12">
        <v>6</v>
      </c>
      <c r="F104" s="12">
        <v>1</v>
      </c>
      <c r="G104" s="12">
        <v>1</v>
      </c>
      <c r="H104" s="12">
        <v>1</v>
      </c>
      <c r="I104" s="12">
        <v>1</v>
      </c>
      <c r="J104" s="12">
        <v>1</v>
      </c>
      <c r="K104" s="12">
        <v>6</v>
      </c>
      <c r="L104" s="12">
        <v>1</v>
      </c>
      <c r="M104" s="12">
        <v>1</v>
      </c>
      <c r="N104" s="13">
        <v>0</v>
      </c>
      <c r="O104" s="20"/>
      <c r="P104" t="str">
        <f>IF(AND(Table1_25[[#This Row],[price]]&gt;R$12,Table1_25[[#This Row],[price]]&lt;S$12),Table1_25[[#This Row],[price]],"")</f>
        <v/>
      </c>
    </row>
    <row r="105" spans="1:16">
      <c r="A105" s="11">
        <v>58000000</v>
      </c>
      <c r="B105" s="12">
        <v>18500</v>
      </c>
      <c r="C105" s="12">
        <v>9</v>
      </c>
      <c r="D105" s="12">
        <v>8</v>
      </c>
      <c r="E105" s="12">
        <v>7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8</v>
      </c>
      <c r="L105" s="12">
        <v>1</v>
      </c>
      <c r="M105" s="12">
        <v>1</v>
      </c>
      <c r="N105" s="13">
        <v>0</v>
      </c>
      <c r="O105" s="20"/>
      <c r="P105" t="str">
        <f>IF(AND(Table1_25[[#This Row],[price]]&gt;R$12,Table1_25[[#This Row],[price]]&lt;S$12),Table1_25[[#This Row],[price]],"")</f>
        <v/>
      </c>
    </row>
    <row r="106" spans="1:16">
      <c r="A106" s="11">
        <v>62000000</v>
      </c>
      <c r="B106" s="12">
        <v>22000</v>
      </c>
      <c r="C106" s="12">
        <v>10</v>
      </c>
      <c r="D106" s="12">
        <v>9</v>
      </c>
      <c r="E106" s="12">
        <v>8</v>
      </c>
      <c r="F106" s="12">
        <v>1</v>
      </c>
      <c r="G106" s="12">
        <v>1</v>
      </c>
      <c r="H106" s="12">
        <v>1</v>
      </c>
      <c r="I106" s="12">
        <v>1</v>
      </c>
      <c r="J106" s="12">
        <v>1</v>
      </c>
      <c r="K106" s="12">
        <v>10</v>
      </c>
      <c r="L106" s="12">
        <v>1</v>
      </c>
      <c r="M106" s="12">
        <v>1</v>
      </c>
      <c r="N106" s="13">
        <v>0</v>
      </c>
      <c r="O106" s="20"/>
      <c r="P106" t="str">
        <f>IF(AND(Table1_25[[#This Row],[price]]&gt;R$12,Table1_25[[#This Row],[price]]&lt;S$12),Table1_25[[#This Row],[price]],"")</f>
        <v/>
      </c>
    </row>
    <row r="107" spans="1:16">
      <c r="A107" s="11">
        <v>4950000</v>
      </c>
      <c r="B107" s="12">
        <v>4550</v>
      </c>
      <c r="C107" s="12">
        <v>3</v>
      </c>
      <c r="D107" s="12">
        <v>2</v>
      </c>
      <c r="E107" s="12">
        <v>2</v>
      </c>
      <c r="F107" s="12">
        <v>1</v>
      </c>
      <c r="G107" s="12">
        <v>0</v>
      </c>
      <c r="H107" s="12">
        <v>0</v>
      </c>
      <c r="I107" s="12">
        <v>0</v>
      </c>
      <c r="J107" s="12">
        <v>1</v>
      </c>
      <c r="K107" s="12">
        <v>2</v>
      </c>
      <c r="L107" s="12">
        <v>0</v>
      </c>
      <c r="M107" s="12">
        <v>0</v>
      </c>
      <c r="N107" s="13">
        <v>1</v>
      </c>
      <c r="O107" s="20"/>
      <c r="P107">
        <f>IF(AND(Table1_25[[#This Row],[price]]&gt;R$12,Table1_25[[#This Row],[price]]&lt;S$12),Table1_25[[#This Row],[price]],"")</f>
        <v>4950000</v>
      </c>
    </row>
    <row r="108" spans="1:16">
      <c r="A108" s="11">
        <v>6400000</v>
      </c>
      <c r="B108" s="12">
        <v>6000</v>
      </c>
      <c r="C108" s="12">
        <v>4</v>
      </c>
      <c r="D108" s="12">
        <v>3</v>
      </c>
      <c r="E108" s="12">
        <v>2</v>
      </c>
      <c r="F108" s="12">
        <v>1</v>
      </c>
      <c r="G108" s="12">
        <v>1</v>
      </c>
      <c r="H108" s="12">
        <v>0</v>
      </c>
      <c r="I108" s="12">
        <v>0</v>
      </c>
      <c r="J108" s="12">
        <v>1</v>
      </c>
      <c r="K108" s="12">
        <v>2</v>
      </c>
      <c r="L108" s="12">
        <v>1</v>
      </c>
      <c r="M108" s="12">
        <v>1</v>
      </c>
      <c r="N108" s="13">
        <v>0</v>
      </c>
      <c r="O108" s="20"/>
      <c r="P108">
        <f>IF(AND(Table1_25[[#This Row],[price]]&gt;R$12,Table1_25[[#This Row],[price]]&lt;S$12),Table1_25[[#This Row],[price]],"")</f>
        <v>6400000</v>
      </c>
    </row>
    <row r="109" spans="1:16">
      <c r="A109" s="11">
        <v>5200000</v>
      </c>
      <c r="B109" s="12">
        <v>4850</v>
      </c>
      <c r="C109" s="12">
        <v>3</v>
      </c>
      <c r="D109" s="12">
        <v>2</v>
      </c>
      <c r="E109" s="12">
        <v>2</v>
      </c>
      <c r="F109" s="12">
        <v>1</v>
      </c>
      <c r="G109" s="12">
        <v>0</v>
      </c>
      <c r="H109" s="12">
        <v>1</v>
      </c>
      <c r="I109" s="12">
        <v>0</v>
      </c>
      <c r="J109" s="12">
        <v>1</v>
      </c>
      <c r="K109" s="12">
        <v>2</v>
      </c>
      <c r="L109" s="12">
        <v>0</v>
      </c>
      <c r="M109" s="12">
        <v>0</v>
      </c>
      <c r="N109" s="13">
        <v>1</v>
      </c>
      <c r="O109" s="20"/>
      <c r="P109">
        <f>IF(AND(Table1_25[[#This Row],[price]]&gt;R$12,Table1_25[[#This Row],[price]]&lt;S$12),Table1_25[[#This Row],[price]],"")</f>
        <v>5200000</v>
      </c>
    </row>
    <row r="110" spans="1:16">
      <c r="A110" s="11">
        <v>4100000</v>
      </c>
      <c r="B110" s="12">
        <v>3550</v>
      </c>
      <c r="C110" s="12">
        <v>2</v>
      </c>
      <c r="D110" s="12">
        <v>1</v>
      </c>
      <c r="E110" s="12">
        <v>1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1</v>
      </c>
      <c r="L110" s="12">
        <v>0</v>
      </c>
      <c r="M110" s="12">
        <v>0</v>
      </c>
      <c r="N110" s="13">
        <v>0</v>
      </c>
      <c r="O110" s="20"/>
      <c r="P110">
        <f>IF(AND(Table1_25[[#This Row],[price]]&gt;R$12,Table1_25[[#This Row],[price]]&lt;S$12),Table1_25[[#This Row],[price]],"")</f>
        <v>4100000</v>
      </c>
    </row>
    <row r="111" spans="1:16">
      <c r="A111" s="11">
        <v>7700000</v>
      </c>
      <c r="B111" s="12">
        <v>7050</v>
      </c>
      <c r="C111" s="12">
        <v>5</v>
      </c>
      <c r="D111" s="12">
        <v>3</v>
      </c>
      <c r="E111" s="12">
        <v>3</v>
      </c>
      <c r="F111" s="12">
        <v>1</v>
      </c>
      <c r="G111" s="12">
        <v>1</v>
      </c>
      <c r="H111" s="12">
        <v>1</v>
      </c>
      <c r="I111" s="12">
        <v>0</v>
      </c>
      <c r="J111" s="12">
        <v>1</v>
      </c>
      <c r="K111" s="12">
        <v>3</v>
      </c>
      <c r="L111" s="12">
        <v>1</v>
      </c>
      <c r="M111" s="12">
        <v>1</v>
      </c>
      <c r="N111" s="13">
        <v>0</v>
      </c>
      <c r="O111" s="20"/>
      <c r="P111">
        <f>IF(AND(Table1_25[[#This Row],[price]]&gt;R$12,Table1_25[[#This Row],[price]]&lt;S$12),Table1_25[[#This Row],[price]],"")</f>
        <v>7700000</v>
      </c>
    </row>
    <row r="112" spans="1:16">
      <c r="A112" s="11">
        <v>5050000</v>
      </c>
      <c r="B112" s="12">
        <v>4650</v>
      </c>
      <c r="C112" s="12">
        <v>3</v>
      </c>
      <c r="D112" s="12">
        <v>2</v>
      </c>
      <c r="E112" s="12">
        <v>2</v>
      </c>
      <c r="F112" s="12">
        <v>1</v>
      </c>
      <c r="G112" s="12">
        <v>0</v>
      </c>
      <c r="H112" s="12">
        <v>0</v>
      </c>
      <c r="I112" s="12">
        <v>0</v>
      </c>
      <c r="J112" s="12">
        <v>1</v>
      </c>
      <c r="K112" s="12">
        <v>2</v>
      </c>
      <c r="L112" s="12">
        <v>0</v>
      </c>
      <c r="M112" s="12">
        <v>0</v>
      </c>
      <c r="N112" s="13">
        <v>1</v>
      </c>
      <c r="O112" s="20"/>
      <c r="P112">
        <f>IF(AND(Table1_25[[#This Row],[price]]&gt;R$12,Table1_25[[#This Row],[price]]&lt;S$12),Table1_25[[#This Row],[price]],"")</f>
        <v>5050000</v>
      </c>
    </row>
    <row r="113" spans="1:16">
      <c r="A113" s="11">
        <v>5950000</v>
      </c>
      <c r="B113" s="12">
        <v>5550</v>
      </c>
      <c r="C113" s="12">
        <v>4</v>
      </c>
      <c r="D113" s="12">
        <v>3</v>
      </c>
      <c r="E113" s="12">
        <v>2</v>
      </c>
      <c r="F113" s="12">
        <v>1</v>
      </c>
      <c r="G113" s="12">
        <v>1</v>
      </c>
      <c r="H113" s="12">
        <v>0</v>
      </c>
      <c r="I113" s="12">
        <v>0</v>
      </c>
      <c r="J113" s="12">
        <v>1</v>
      </c>
      <c r="K113" s="12">
        <v>2</v>
      </c>
      <c r="L113" s="12">
        <v>1</v>
      </c>
      <c r="M113" s="12">
        <v>1</v>
      </c>
      <c r="N113" s="13">
        <v>0</v>
      </c>
      <c r="O113" s="20"/>
      <c r="P113">
        <f>IF(AND(Table1_25[[#This Row],[price]]&gt;R$12,Table1_25[[#This Row],[price]]&lt;S$12),Table1_25[[#This Row],[price]],"")</f>
        <v>5950000</v>
      </c>
    </row>
    <row r="114" spans="1:16">
      <c r="A114" s="11">
        <v>3750000</v>
      </c>
      <c r="B114" s="12">
        <v>3300</v>
      </c>
      <c r="C114" s="12">
        <v>2</v>
      </c>
      <c r="D114" s="12">
        <v>1</v>
      </c>
      <c r="E114" s="12">
        <v>1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1</v>
      </c>
      <c r="L114" s="12">
        <v>0</v>
      </c>
      <c r="M114" s="12">
        <v>0</v>
      </c>
      <c r="N114" s="13">
        <v>0</v>
      </c>
      <c r="O114" s="20"/>
      <c r="P114">
        <f>IF(AND(Table1_25[[#This Row],[price]]&gt;R$12,Table1_25[[#This Row],[price]]&lt;S$12),Table1_25[[#This Row],[price]],"")</f>
        <v>3750000</v>
      </c>
    </row>
    <row r="115" spans="1:16">
      <c r="A115" s="11">
        <v>7150000</v>
      </c>
      <c r="B115" s="12">
        <v>6500</v>
      </c>
      <c r="C115" s="12">
        <v>5</v>
      </c>
      <c r="D115" s="12">
        <v>3</v>
      </c>
      <c r="E115" s="12">
        <v>3</v>
      </c>
      <c r="F115" s="12">
        <v>1</v>
      </c>
      <c r="G115" s="12">
        <v>1</v>
      </c>
      <c r="H115" s="12">
        <v>1</v>
      </c>
      <c r="I115" s="12">
        <v>0</v>
      </c>
      <c r="J115" s="12">
        <v>1</v>
      </c>
      <c r="K115" s="12">
        <v>3</v>
      </c>
      <c r="L115" s="12">
        <v>1</v>
      </c>
      <c r="M115" s="12">
        <v>1</v>
      </c>
      <c r="N115" s="13">
        <v>0</v>
      </c>
      <c r="O115" s="20"/>
      <c r="P115">
        <f>IF(AND(Table1_25[[#This Row],[price]]&gt;R$12,Table1_25[[#This Row],[price]]&lt;S$12),Table1_25[[#This Row],[price]],"")</f>
        <v>7150000</v>
      </c>
    </row>
    <row r="116" spans="1:16">
      <c r="A116" s="11">
        <v>4850000</v>
      </c>
      <c r="B116" s="12">
        <v>4450</v>
      </c>
      <c r="C116" s="12">
        <v>3</v>
      </c>
      <c r="D116" s="12">
        <v>2</v>
      </c>
      <c r="E116" s="12">
        <v>2</v>
      </c>
      <c r="F116" s="12">
        <v>1</v>
      </c>
      <c r="G116" s="12">
        <v>0</v>
      </c>
      <c r="H116" s="12">
        <v>1</v>
      </c>
      <c r="I116" s="12">
        <v>0</v>
      </c>
      <c r="J116" s="12">
        <v>1</v>
      </c>
      <c r="K116" s="12">
        <v>2</v>
      </c>
      <c r="L116" s="12">
        <v>0</v>
      </c>
      <c r="M116" s="12">
        <v>0</v>
      </c>
      <c r="N116" s="13">
        <v>1</v>
      </c>
      <c r="O116" s="20"/>
      <c r="P116">
        <f>IF(AND(Table1_25[[#This Row],[price]]&gt;R$12,Table1_25[[#This Row],[price]]&lt;S$12),Table1_25[[#This Row],[price]],"")</f>
        <v>4850000</v>
      </c>
    </row>
    <row r="117" spans="1:16">
      <c r="A117" s="11">
        <v>6650000</v>
      </c>
      <c r="B117" s="12">
        <v>6150</v>
      </c>
      <c r="C117" s="12">
        <v>4</v>
      </c>
      <c r="D117" s="12">
        <v>3</v>
      </c>
      <c r="E117" s="12">
        <v>2</v>
      </c>
      <c r="F117" s="12">
        <v>1</v>
      </c>
      <c r="G117" s="12">
        <v>1</v>
      </c>
      <c r="H117" s="12">
        <v>0</v>
      </c>
      <c r="I117" s="12">
        <v>0</v>
      </c>
      <c r="J117" s="12">
        <v>1</v>
      </c>
      <c r="K117" s="12">
        <v>2</v>
      </c>
      <c r="L117" s="12">
        <v>1</v>
      </c>
      <c r="M117" s="12">
        <v>1</v>
      </c>
      <c r="N117" s="13">
        <v>0</v>
      </c>
      <c r="O117" s="20"/>
      <c r="P117">
        <f>IF(AND(Table1_25[[#This Row],[price]]&gt;R$12,Table1_25[[#This Row],[price]]&lt;S$12),Table1_25[[#This Row],[price]],"")</f>
        <v>6650000</v>
      </c>
    </row>
    <row r="118" spans="1:16">
      <c r="A118" s="11">
        <v>4550000</v>
      </c>
      <c r="B118" s="12">
        <v>4250</v>
      </c>
      <c r="C118" s="12">
        <v>3</v>
      </c>
      <c r="D118" s="12">
        <v>2</v>
      </c>
      <c r="E118" s="12">
        <v>2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2</v>
      </c>
      <c r="L118" s="12">
        <v>0</v>
      </c>
      <c r="M118" s="12">
        <v>0</v>
      </c>
      <c r="N118" s="13">
        <v>0</v>
      </c>
      <c r="O118" s="20"/>
      <c r="P118">
        <f>IF(AND(Table1_25[[#This Row],[price]]&gt;R$12,Table1_25[[#This Row],[price]]&lt;S$12),Table1_25[[#This Row],[price]],"")</f>
        <v>4550000</v>
      </c>
    </row>
    <row r="119" spans="1:16">
      <c r="A119" s="11">
        <v>3500000</v>
      </c>
      <c r="B119" s="12">
        <v>2950</v>
      </c>
      <c r="C119" s="12">
        <v>2</v>
      </c>
      <c r="D119" s="12">
        <v>1</v>
      </c>
      <c r="E119" s="12">
        <v>1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1</v>
      </c>
      <c r="L119" s="12">
        <v>0</v>
      </c>
      <c r="M119" s="12">
        <v>0</v>
      </c>
      <c r="N119" s="13">
        <v>0</v>
      </c>
      <c r="O119" s="20"/>
      <c r="P119">
        <f>IF(AND(Table1_25[[#This Row],[price]]&gt;R$12,Table1_25[[#This Row],[price]]&lt;S$12),Table1_25[[#This Row],[price]],"")</f>
        <v>3500000</v>
      </c>
    </row>
    <row r="120" spans="1:16">
      <c r="A120" s="11">
        <v>8350000</v>
      </c>
      <c r="B120" s="12">
        <v>7600</v>
      </c>
      <c r="C120" s="12">
        <v>5</v>
      </c>
      <c r="D120" s="12">
        <v>4</v>
      </c>
      <c r="E120" s="12">
        <v>3</v>
      </c>
      <c r="F120" s="12">
        <v>1</v>
      </c>
      <c r="G120" s="12">
        <v>1</v>
      </c>
      <c r="H120" s="12">
        <v>1</v>
      </c>
      <c r="I120" s="12">
        <v>0</v>
      </c>
      <c r="J120" s="12">
        <v>1</v>
      </c>
      <c r="K120" s="12">
        <v>3</v>
      </c>
      <c r="L120" s="12">
        <v>1</v>
      </c>
      <c r="M120" s="12">
        <v>1</v>
      </c>
      <c r="N120" s="13">
        <v>0</v>
      </c>
      <c r="O120" s="20"/>
      <c r="P120">
        <f>IF(AND(Table1_25[[#This Row],[price]]&gt;R$12,Table1_25[[#This Row],[price]]&lt;S$12),Table1_25[[#This Row],[price]],"")</f>
        <v>8350000</v>
      </c>
    </row>
    <row r="121" spans="1:16">
      <c r="A121" s="11">
        <v>5400000</v>
      </c>
      <c r="B121" s="12">
        <v>5050</v>
      </c>
      <c r="C121" s="12">
        <v>3</v>
      </c>
      <c r="D121" s="12">
        <v>2</v>
      </c>
      <c r="E121" s="12">
        <v>2</v>
      </c>
      <c r="F121" s="12">
        <v>1</v>
      </c>
      <c r="G121" s="12">
        <v>0</v>
      </c>
      <c r="H121" s="12">
        <v>0</v>
      </c>
      <c r="I121" s="12">
        <v>0</v>
      </c>
      <c r="J121" s="12">
        <v>1</v>
      </c>
      <c r="K121" s="12">
        <v>2</v>
      </c>
      <c r="L121" s="12">
        <v>0</v>
      </c>
      <c r="M121" s="12">
        <v>0</v>
      </c>
      <c r="N121" s="13">
        <v>1</v>
      </c>
      <c r="O121" s="20"/>
      <c r="P121">
        <f>IF(AND(Table1_25[[#This Row],[price]]&gt;R$12,Table1_25[[#This Row],[price]]&lt;S$12),Table1_25[[#This Row],[price]],"")</f>
        <v>5400000</v>
      </c>
    </row>
    <row r="122" spans="1:16">
      <c r="A122" s="11">
        <v>4250000</v>
      </c>
      <c r="B122" s="12">
        <v>3900</v>
      </c>
      <c r="C122" s="12">
        <v>3</v>
      </c>
      <c r="D122" s="12">
        <v>2</v>
      </c>
      <c r="E122" s="12">
        <v>1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1</v>
      </c>
      <c r="L122" s="12">
        <v>0</v>
      </c>
      <c r="M122" s="12">
        <v>0</v>
      </c>
      <c r="N122" s="13">
        <v>0</v>
      </c>
      <c r="O122" s="20"/>
      <c r="P122">
        <f>IF(AND(Table1_25[[#This Row],[price]]&gt;R$12,Table1_25[[#This Row],[price]]&lt;S$12),Table1_25[[#This Row],[price]],"")</f>
        <v>4250000</v>
      </c>
    </row>
    <row r="123" spans="1:16">
      <c r="A123" s="11">
        <v>6450000</v>
      </c>
      <c r="B123" s="12">
        <v>5950</v>
      </c>
      <c r="C123" s="12">
        <v>4</v>
      </c>
      <c r="D123" s="12">
        <v>3</v>
      </c>
      <c r="E123" s="12">
        <v>2</v>
      </c>
      <c r="F123" s="12">
        <v>1</v>
      </c>
      <c r="G123" s="12">
        <v>1</v>
      </c>
      <c r="H123" s="12">
        <v>0</v>
      </c>
      <c r="I123" s="12">
        <v>0</v>
      </c>
      <c r="J123" s="12">
        <v>1</v>
      </c>
      <c r="K123" s="12">
        <v>2</v>
      </c>
      <c r="L123" s="12">
        <v>1</v>
      </c>
      <c r="M123" s="12">
        <v>1</v>
      </c>
      <c r="N123" s="13">
        <v>0</v>
      </c>
      <c r="O123" s="20"/>
      <c r="P123">
        <f>IF(AND(Table1_25[[#This Row],[price]]&gt;R$12,Table1_25[[#This Row],[price]]&lt;S$12),Table1_25[[#This Row],[price]],"")</f>
        <v>6450000</v>
      </c>
    </row>
    <row r="124" spans="1:16">
      <c r="A124" s="11">
        <v>5600000</v>
      </c>
      <c r="B124" s="12">
        <v>5250</v>
      </c>
      <c r="C124" s="12">
        <v>4</v>
      </c>
      <c r="D124" s="12">
        <v>2</v>
      </c>
      <c r="E124" s="12">
        <v>2</v>
      </c>
      <c r="F124" s="12">
        <v>1</v>
      </c>
      <c r="G124" s="12">
        <v>0</v>
      </c>
      <c r="H124" s="12">
        <v>1</v>
      </c>
      <c r="I124" s="12">
        <v>0</v>
      </c>
      <c r="J124" s="12">
        <v>1</v>
      </c>
      <c r="K124" s="12">
        <v>2</v>
      </c>
      <c r="L124" s="12">
        <v>0</v>
      </c>
      <c r="M124" s="12">
        <v>0</v>
      </c>
      <c r="N124" s="13">
        <v>1</v>
      </c>
      <c r="O124" s="20"/>
      <c r="P124">
        <f>IF(AND(Table1_25[[#This Row],[price]]&gt;R$12,Table1_25[[#This Row],[price]]&lt;S$12),Table1_25[[#This Row],[price]],"")</f>
        <v>5600000</v>
      </c>
    </row>
    <row r="125" spans="1:16">
      <c r="A125" s="11">
        <v>4750000</v>
      </c>
      <c r="B125" s="12">
        <v>4400</v>
      </c>
      <c r="C125" s="12">
        <v>3</v>
      </c>
      <c r="D125" s="12">
        <v>2</v>
      </c>
      <c r="E125" s="12">
        <v>2</v>
      </c>
      <c r="F125" s="12">
        <v>1</v>
      </c>
      <c r="G125" s="12">
        <v>0</v>
      </c>
      <c r="H125" s="12">
        <v>0</v>
      </c>
      <c r="I125" s="12">
        <v>0</v>
      </c>
      <c r="J125" s="12">
        <v>0</v>
      </c>
      <c r="K125" s="12">
        <v>2</v>
      </c>
      <c r="L125" s="12">
        <v>0</v>
      </c>
      <c r="M125" s="12">
        <v>0</v>
      </c>
      <c r="N125" s="13">
        <v>1</v>
      </c>
      <c r="O125" s="20"/>
      <c r="P125">
        <f>IF(AND(Table1_25[[#This Row],[price]]&gt;R$12,Table1_25[[#This Row],[price]]&lt;S$12),Table1_25[[#This Row],[price]],"")</f>
        <v>4750000</v>
      </c>
    </row>
    <row r="126" spans="1:16">
      <c r="A126" s="11">
        <v>7450000</v>
      </c>
      <c r="B126" s="12">
        <v>6800</v>
      </c>
      <c r="C126" s="12">
        <v>5</v>
      </c>
      <c r="D126" s="12">
        <v>3</v>
      </c>
      <c r="E126" s="12">
        <v>3</v>
      </c>
      <c r="F126" s="12">
        <v>1</v>
      </c>
      <c r="G126" s="12">
        <v>1</v>
      </c>
      <c r="H126" s="12">
        <v>1</v>
      </c>
      <c r="I126" s="12">
        <v>0</v>
      </c>
      <c r="J126" s="12">
        <v>1</v>
      </c>
      <c r="K126" s="12">
        <v>3</v>
      </c>
      <c r="L126" s="12">
        <v>1</v>
      </c>
      <c r="M126" s="12">
        <v>1</v>
      </c>
      <c r="N126" s="13">
        <v>0</v>
      </c>
      <c r="O126" s="20"/>
      <c r="P126">
        <f>IF(AND(Table1_25[[#This Row],[price]]&gt;R$12,Table1_25[[#This Row],[price]]&lt;S$12),Table1_25[[#This Row],[price]],"")</f>
        <v>7450000</v>
      </c>
    </row>
    <row r="127" spans="1:16">
      <c r="A127" s="11">
        <v>4050000</v>
      </c>
      <c r="B127" s="12">
        <v>3650</v>
      </c>
      <c r="C127" s="12">
        <v>3</v>
      </c>
      <c r="D127" s="12">
        <v>2</v>
      </c>
      <c r="E127" s="12">
        <v>1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1</v>
      </c>
      <c r="L127" s="12">
        <v>0</v>
      </c>
      <c r="M127" s="12">
        <v>0</v>
      </c>
      <c r="N127" s="13">
        <v>0</v>
      </c>
      <c r="O127" s="20"/>
      <c r="P127">
        <f>IF(AND(Table1_25[[#This Row],[price]]&gt;R$12,Table1_25[[#This Row],[price]]&lt;S$12),Table1_25[[#This Row],[price]],"")</f>
        <v>4050000</v>
      </c>
    </row>
    <row r="128" spans="1:16">
      <c r="A128" s="11">
        <v>6850000</v>
      </c>
      <c r="B128" s="12">
        <v>6250</v>
      </c>
      <c r="C128" s="12">
        <v>4</v>
      </c>
      <c r="D128" s="12">
        <v>3</v>
      </c>
      <c r="E128" s="12">
        <v>2</v>
      </c>
      <c r="F128" s="12">
        <v>1</v>
      </c>
      <c r="G128" s="12">
        <v>1</v>
      </c>
      <c r="H128" s="12">
        <v>0</v>
      </c>
      <c r="I128" s="12">
        <v>0</v>
      </c>
      <c r="J128" s="12">
        <v>1</v>
      </c>
      <c r="K128" s="12">
        <v>2</v>
      </c>
      <c r="L128" s="12">
        <v>1</v>
      </c>
      <c r="M128" s="12">
        <v>1</v>
      </c>
      <c r="N128" s="13">
        <v>0</v>
      </c>
      <c r="O128" s="20"/>
      <c r="P128">
        <f>IF(AND(Table1_25[[#This Row],[price]]&gt;R$12,Table1_25[[#This Row],[price]]&lt;S$12),Table1_25[[#This Row],[price]],"")</f>
        <v>6850000</v>
      </c>
    </row>
    <row r="129" spans="1:16">
      <c r="A129" s="11">
        <v>5750000</v>
      </c>
      <c r="B129" s="12">
        <v>5400</v>
      </c>
      <c r="C129" s="12">
        <v>4</v>
      </c>
      <c r="D129" s="12">
        <v>2</v>
      </c>
      <c r="E129" s="12">
        <v>2</v>
      </c>
      <c r="F129" s="12">
        <v>1</v>
      </c>
      <c r="G129" s="12">
        <v>0</v>
      </c>
      <c r="H129" s="12">
        <v>1</v>
      </c>
      <c r="I129" s="12">
        <v>0</v>
      </c>
      <c r="J129" s="12">
        <v>1</v>
      </c>
      <c r="K129" s="12">
        <v>2</v>
      </c>
      <c r="L129" s="12">
        <v>0</v>
      </c>
      <c r="M129" s="12">
        <v>0</v>
      </c>
      <c r="N129" s="13">
        <v>1</v>
      </c>
      <c r="O129" s="20"/>
      <c r="P129">
        <f>IF(AND(Table1_25[[#This Row],[price]]&gt;R$12,Table1_25[[#This Row],[price]]&lt;S$12),Table1_25[[#This Row],[price]],"")</f>
        <v>5750000</v>
      </c>
    </row>
    <row r="130" spans="1:16">
      <c r="A130" s="11">
        <v>3650000</v>
      </c>
      <c r="B130" s="12">
        <v>3150</v>
      </c>
      <c r="C130" s="12">
        <v>2</v>
      </c>
      <c r="D130" s="12">
        <v>1</v>
      </c>
      <c r="E130" s="12">
        <v>1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1</v>
      </c>
      <c r="L130" s="12">
        <v>0</v>
      </c>
      <c r="M130" s="12">
        <v>0</v>
      </c>
      <c r="N130" s="13">
        <v>0</v>
      </c>
      <c r="O130" s="20"/>
      <c r="P130">
        <f>IF(AND(Table1_25[[#This Row],[price]]&gt;R$12,Table1_25[[#This Row],[price]]&lt;S$12),Table1_25[[#This Row],[price]],"")</f>
        <v>3650000</v>
      </c>
    </row>
    <row r="131" spans="1:16">
      <c r="A131" s="11">
        <v>8600000</v>
      </c>
      <c r="B131" s="12">
        <v>7900</v>
      </c>
      <c r="C131" s="12">
        <v>5</v>
      </c>
      <c r="D131" s="12">
        <v>4</v>
      </c>
      <c r="E131" s="12">
        <v>3</v>
      </c>
      <c r="F131" s="12">
        <v>1</v>
      </c>
      <c r="G131" s="12">
        <v>1</v>
      </c>
      <c r="H131" s="12">
        <v>1</v>
      </c>
      <c r="I131" s="12">
        <v>0</v>
      </c>
      <c r="J131" s="12">
        <v>1</v>
      </c>
      <c r="K131" s="12">
        <v>3</v>
      </c>
      <c r="L131" s="12">
        <v>1</v>
      </c>
      <c r="M131" s="12">
        <v>1</v>
      </c>
      <c r="N131" s="13">
        <v>0</v>
      </c>
      <c r="O131" s="20"/>
      <c r="P131">
        <f>IF(AND(Table1_25[[#This Row],[price]]&gt;R$12,Table1_25[[#This Row],[price]]&lt;S$12),Table1_25[[#This Row],[price]],"")</f>
        <v>8600000</v>
      </c>
    </row>
    <row r="132" spans="1:16">
      <c r="A132" s="11">
        <v>27500000</v>
      </c>
      <c r="B132" s="12">
        <v>9900</v>
      </c>
      <c r="C132" s="12">
        <v>6</v>
      </c>
      <c r="D132" s="12">
        <v>5</v>
      </c>
      <c r="E132" s="12">
        <v>4</v>
      </c>
      <c r="F132" s="12">
        <v>1</v>
      </c>
      <c r="G132" s="12">
        <v>1</v>
      </c>
      <c r="H132" s="12">
        <v>1</v>
      </c>
      <c r="I132" s="12">
        <v>1</v>
      </c>
      <c r="J132" s="12">
        <v>1</v>
      </c>
      <c r="K132" s="12">
        <v>4</v>
      </c>
      <c r="L132" s="12">
        <v>1</v>
      </c>
      <c r="M132" s="12">
        <v>1</v>
      </c>
      <c r="N132" s="13">
        <v>0</v>
      </c>
      <c r="O132" s="20"/>
      <c r="P132" t="str">
        <f>IF(AND(Table1_25[[#This Row],[price]]&gt;R$12,Table1_25[[#This Row],[price]]&lt;S$12),Table1_25[[#This Row],[price]],"")</f>
        <v/>
      </c>
    </row>
    <row r="133" spans="1:16">
      <c r="A133" s="11">
        <v>38500000</v>
      </c>
      <c r="B133" s="12">
        <v>12500</v>
      </c>
      <c r="C133" s="12">
        <v>7</v>
      </c>
      <c r="D133" s="12">
        <v>6</v>
      </c>
      <c r="E133" s="12">
        <v>5</v>
      </c>
      <c r="F133" s="12">
        <v>1</v>
      </c>
      <c r="G133" s="12">
        <v>1</v>
      </c>
      <c r="H133" s="12">
        <v>1</v>
      </c>
      <c r="I133" s="12">
        <v>1</v>
      </c>
      <c r="J133" s="12">
        <v>1</v>
      </c>
      <c r="K133" s="12">
        <v>5</v>
      </c>
      <c r="L133" s="12">
        <v>1</v>
      </c>
      <c r="M133" s="12">
        <v>1</v>
      </c>
      <c r="N133" s="13">
        <v>0</v>
      </c>
      <c r="O133" s="20"/>
      <c r="P133" t="str">
        <f>IF(AND(Table1_25[[#This Row],[price]]&gt;R$12,Table1_25[[#This Row],[price]]&lt;S$12),Table1_25[[#This Row],[price]],"")</f>
        <v/>
      </c>
    </row>
    <row r="134" spans="1:16">
      <c r="A134" s="11">
        <v>49500000</v>
      </c>
      <c r="B134" s="12">
        <v>16000</v>
      </c>
      <c r="C134" s="12">
        <v>8</v>
      </c>
      <c r="D134" s="12">
        <v>7</v>
      </c>
      <c r="E134" s="12">
        <v>6</v>
      </c>
      <c r="F134" s="12">
        <v>1</v>
      </c>
      <c r="G134" s="12">
        <v>1</v>
      </c>
      <c r="H134" s="12">
        <v>1</v>
      </c>
      <c r="I134" s="12">
        <v>1</v>
      </c>
      <c r="J134" s="12">
        <v>1</v>
      </c>
      <c r="K134" s="12">
        <v>6</v>
      </c>
      <c r="L134" s="12">
        <v>1</v>
      </c>
      <c r="M134" s="12">
        <v>1</v>
      </c>
      <c r="N134" s="13">
        <v>0</v>
      </c>
      <c r="O134" s="20"/>
      <c r="P134" t="str">
        <f>IF(AND(Table1_25[[#This Row],[price]]&gt;R$12,Table1_25[[#This Row],[price]]&lt;S$12),Table1_25[[#This Row],[price]],"")</f>
        <v/>
      </c>
    </row>
    <row r="135" spans="1:16">
      <c r="A135" s="11">
        <v>61000000</v>
      </c>
      <c r="B135" s="12">
        <v>20000</v>
      </c>
      <c r="C135" s="12">
        <v>9</v>
      </c>
      <c r="D135" s="12">
        <v>8</v>
      </c>
      <c r="E135" s="12">
        <v>7</v>
      </c>
      <c r="F135" s="12">
        <v>1</v>
      </c>
      <c r="G135" s="12">
        <v>1</v>
      </c>
      <c r="H135" s="12">
        <v>1</v>
      </c>
      <c r="I135" s="12">
        <v>1</v>
      </c>
      <c r="J135" s="12">
        <v>1</v>
      </c>
      <c r="K135" s="12">
        <v>8</v>
      </c>
      <c r="L135" s="12">
        <v>1</v>
      </c>
      <c r="M135" s="12">
        <v>1</v>
      </c>
      <c r="N135" s="13">
        <v>0</v>
      </c>
      <c r="O135" s="20"/>
      <c r="P135" t="str">
        <f>IF(AND(Table1_25[[#This Row],[price]]&gt;R$12,Table1_25[[#This Row],[price]]&lt;S$12),Table1_25[[#This Row],[price]],"")</f>
        <v/>
      </c>
    </row>
    <row r="136" spans="1:16">
      <c r="A136" s="11">
        <v>72500000</v>
      </c>
      <c r="B136" s="12">
        <v>24500</v>
      </c>
      <c r="C136" s="12">
        <v>10</v>
      </c>
      <c r="D136" s="12">
        <v>9</v>
      </c>
      <c r="E136" s="12">
        <v>8</v>
      </c>
      <c r="F136" s="12">
        <v>1</v>
      </c>
      <c r="G136" s="12">
        <v>1</v>
      </c>
      <c r="H136" s="12">
        <v>1</v>
      </c>
      <c r="I136" s="12">
        <v>1</v>
      </c>
      <c r="J136" s="12">
        <v>1</v>
      </c>
      <c r="K136" s="12">
        <v>10</v>
      </c>
      <c r="L136" s="12">
        <v>1</v>
      </c>
      <c r="M136" s="12">
        <v>1</v>
      </c>
      <c r="N136" s="13">
        <v>0</v>
      </c>
      <c r="O136" s="20"/>
      <c r="P136" t="str">
        <f>IF(AND(Table1_25[[#This Row],[price]]&gt;R$12,Table1_25[[#This Row],[price]]&lt;S$12),Table1_25[[#This Row],[price]],"")</f>
        <v/>
      </c>
    </row>
    <row r="137" spans="1:16">
      <c r="A137" s="11">
        <v>5150000</v>
      </c>
      <c r="B137" s="12">
        <v>4700</v>
      </c>
      <c r="C137" s="12">
        <v>3</v>
      </c>
      <c r="D137" s="12">
        <v>2</v>
      </c>
      <c r="E137" s="12">
        <v>2</v>
      </c>
      <c r="F137" s="12">
        <v>1</v>
      </c>
      <c r="G137" s="12">
        <v>0</v>
      </c>
      <c r="H137" s="12">
        <v>0</v>
      </c>
      <c r="I137" s="12">
        <v>0</v>
      </c>
      <c r="J137" s="12">
        <v>1</v>
      </c>
      <c r="K137" s="12">
        <v>2</v>
      </c>
      <c r="L137" s="12">
        <v>0</v>
      </c>
      <c r="M137" s="12">
        <v>0</v>
      </c>
      <c r="N137" s="13">
        <v>1</v>
      </c>
      <c r="O137" s="20"/>
      <c r="P137">
        <f>IF(AND(Table1_25[[#This Row],[price]]&gt;R$12,Table1_25[[#This Row],[price]]&lt;S$12),Table1_25[[#This Row],[price]],"")</f>
        <v>5150000</v>
      </c>
    </row>
    <row r="138" spans="1:16">
      <c r="A138" s="11">
        <v>6050000</v>
      </c>
      <c r="B138" s="12">
        <v>5650</v>
      </c>
      <c r="C138" s="12">
        <v>4</v>
      </c>
      <c r="D138" s="12">
        <v>3</v>
      </c>
      <c r="E138" s="12">
        <v>2</v>
      </c>
      <c r="F138" s="12">
        <v>1</v>
      </c>
      <c r="G138" s="12">
        <v>1</v>
      </c>
      <c r="H138" s="12">
        <v>0</v>
      </c>
      <c r="I138" s="12">
        <v>0</v>
      </c>
      <c r="J138" s="12">
        <v>1</v>
      </c>
      <c r="K138" s="12">
        <v>2</v>
      </c>
      <c r="L138" s="12">
        <v>1</v>
      </c>
      <c r="M138" s="12">
        <v>1</v>
      </c>
      <c r="N138" s="13">
        <v>0</v>
      </c>
      <c r="O138" s="20"/>
      <c r="P138">
        <f>IF(AND(Table1_25[[#This Row],[price]]&gt;R$12,Table1_25[[#This Row],[price]]&lt;S$12),Table1_25[[#This Row],[price]],"")</f>
        <v>6050000</v>
      </c>
    </row>
    <row r="139" spans="1:16">
      <c r="A139" s="11">
        <v>4450000</v>
      </c>
      <c r="B139" s="12">
        <v>4100</v>
      </c>
      <c r="C139" s="12">
        <v>3</v>
      </c>
      <c r="D139" s="12">
        <v>2</v>
      </c>
      <c r="E139" s="12">
        <v>1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2</v>
      </c>
      <c r="L139" s="12">
        <v>0</v>
      </c>
      <c r="M139" s="12">
        <v>0</v>
      </c>
      <c r="N139" s="13">
        <v>0</v>
      </c>
      <c r="O139" s="20"/>
      <c r="P139">
        <f>IF(AND(Table1_25[[#This Row],[price]]&gt;R$12,Table1_25[[#This Row],[price]]&lt;S$12),Table1_25[[#This Row],[price]],"")</f>
        <v>4450000</v>
      </c>
    </row>
    <row r="140" spans="1:16">
      <c r="A140" s="11">
        <v>7850000</v>
      </c>
      <c r="B140" s="12">
        <v>7150</v>
      </c>
      <c r="C140" s="12">
        <v>5</v>
      </c>
      <c r="D140" s="12">
        <v>3</v>
      </c>
      <c r="E140" s="12">
        <v>3</v>
      </c>
      <c r="F140" s="12">
        <v>1</v>
      </c>
      <c r="G140" s="12">
        <v>1</v>
      </c>
      <c r="H140" s="12">
        <v>1</v>
      </c>
      <c r="I140" s="12">
        <v>0</v>
      </c>
      <c r="J140" s="12">
        <v>1</v>
      </c>
      <c r="K140" s="12">
        <v>3</v>
      </c>
      <c r="L140" s="12">
        <v>1</v>
      </c>
      <c r="M140" s="12">
        <v>1</v>
      </c>
      <c r="N140" s="13">
        <v>0</v>
      </c>
      <c r="O140" s="20"/>
      <c r="P140">
        <f>IF(AND(Table1_25[[#This Row],[price]]&gt;R$12,Table1_25[[#This Row],[price]]&lt;S$12),Table1_25[[#This Row],[price]],"")</f>
        <v>7850000</v>
      </c>
    </row>
    <row r="141" spans="1:16">
      <c r="A141" s="11">
        <v>5550000</v>
      </c>
      <c r="B141" s="12">
        <v>5150</v>
      </c>
      <c r="C141" s="12">
        <v>4</v>
      </c>
      <c r="D141" s="12">
        <v>2</v>
      </c>
      <c r="E141" s="12">
        <v>2</v>
      </c>
      <c r="F141" s="12">
        <v>1</v>
      </c>
      <c r="G141" s="12">
        <v>0</v>
      </c>
      <c r="H141" s="12">
        <v>1</v>
      </c>
      <c r="I141" s="12">
        <v>0</v>
      </c>
      <c r="J141" s="12">
        <v>1</v>
      </c>
      <c r="K141" s="12">
        <v>2</v>
      </c>
      <c r="L141" s="12">
        <v>0</v>
      </c>
      <c r="M141" s="12">
        <v>0</v>
      </c>
      <c r="N141" s="13">
        <v>1</v>
      </c>
      <c r="O141" s="20"/>
      <c r="P141">
        <f>IF(AND(Table1_25[[#This Row],[price]]&gt;R$12,Table1_25[[#This Row],[price]]&lt;S$12),Table1_25[[#This Row],[price]],"")</f>
        <v>5550000</v>
      </c>
    </row>
    <row r="142" spans="1:16">
      <c r="A142" s="11">
        <v>4950000</v>
      </c>
      <c r="B142" s="12">
        <v>4550</v>
      </c>
      <c r="C142" s="12">
        <v>3</v>
      </c>
      <c r="D142" s="12">
        <v>2</v>
      </c>
      <c r="E142" s="12">
        <v>2</v>
      </c>
      <c r="F142" s="12">
        <v>1</v>
      </c>
      <c r="G142" s="12">
        <v>0</v>
      </c>
      <c r="H142" s="12">
        <v>0</v>
      </c>
      <c r="I142" s="12">
        <v>0</v>
      </c>
      <c r="J142" s="12">
        <v>1</v>
      </c>
      <c r="K142" s="12">
        <v>2</v>
      </c>
      <c r="L142" s="12">
        <v>0</v>
      </c>
      <c r="M142" s="12">
        <v>0</v>
      </c>
      <c r="N142" s="13">
        <v>1</v>
      </c>
      <c r="O142" s="20"/>
      <c r="P142">
        <f>IF(AND(Table1_25[[#This Row],[price]]&gt;R$12,Table1_25[[#This Row],[price]]&lt;S$12),Table1_25[[#This Row],[price]],"")</f>
        <v>4950000</v>
      </c>
    </row>
    <row r="143" spans="1:16">
      <c r="A143" s="11">
        <v>5750000</v>
      </c>
      <c r="B143" s="12">
        <v>5400</v>
      </c>
      <c r="C143" s="12">
        <v>4</v>
      </c>
      <c r="D143" s="12">
        <v>2</v>
      </c>
      <c r="E143" s="12">
        <v>2</v>
      </c>
      <c r="F143" s="12">
        <v>1</v>
      </c>
      <c r="G143" s="12">
        <v>1</v>
      </c>
      <c r="H143" s="12">
        <v>0</v>
      </c>
      <c r="I143" s="12">
        <v>0</v>
      </c>
      <c r="J143" s="12">
        <v>1</v>
      </c>
      <c r="K143" s="12">
        <v>2</v>
      </c>
      <c r="L143" s="12">
        <v>1</v>
      </c>
      <c r="M143" s="12">
        <v>1</v>
      </c>
      <c r="N143" s="13">
        <v>0</v>
      </c>
      <c r="O143" s="20"/>
      <c r="P143">
        <f>IF(AND(Table1_25[[#This Row],[price]]&gt;R$12,Table1_25[[#This Row],[price]]&lt;S$12),Table1_25[[#This Row],[price]],"")</f>
        <v>5750000</v>
      </c>
    </row>
    <row r="144" spans="1:16">
      <c r="A144" s="11">
        <v>3650000</v>
      </c>
      <c r="B144" s="12">
        <v>3200</v>
      </c>
      <c r="C144" s="12">
        <v>2</v>
      </c>
      <c r="D144" s="12">
        <v>1</v>
      </c>
      <c r="E144" s="12">
        <v>1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1</v>
      </c>
      <c r="L144" s="12">
        <v>0</v>
      </c>
      <c r="M144" s="12">
        <v>0</v>
      </c>
      <c r="N144" s="13">
        <v>0</v>
      </c>
      <c r="O144" s="20"/>
      <c r="P144">
        <f>IF(AND(Table1_25[[#This Row],[price]]&gt;R$12,Table1_25[[#This Row],[price]]&lt;S$12),Table1_25[[#This Row],[price]],"")</f>
        <v>3650000</v>
      </c>
    </row>
    <row r="145" spans="1:16">
      <c r="A145" s="11">
        <v>7050000</v>
      </c>
      <c r="B145" s="12">
        <v>6450</v>
      </c>
      <c r="C145" s="12">
        <v>5</v>
      </c>
      <c r="D145" s="12">
        <v>3</v>
      </c>
      <c r="E145" s="12">
        <v>3</v>
      </c>
      <c r="F145" s="12">
        <v>1</v>
      </c>
      <c r="G145" s="12">
        <v>1</v>
      </c>
      <c r="H145" s="12">
        <v>1</v>
      </c>
      <c r="I145" s="12">
        <v>0</v>
      </c>
      <c r="J145" s="12">
        <v>1</v>
      </c>
      <c r="K145" s="12">
        <v>3</v>
      </c>
      <c r="L145" s="12">
        <v>1</v>
      </c>
      <c r="M145" s="12">
        <v>1</v>
      </c>
      <c r="N145" s="13">
        <v>0</v>
      </c>
      <c r="O145" s="20"/>
      <c r="P145">
        <f>IF(AND(Table1_25[[#This Row],[price]]&gt;R$12,Table1_25[[#This Row],[price]]&lt;S$12),Table1_25[[#This Row],[price]],"")</f>
        <v>7050000</v>
      </c>
    </row>
    <row r="146" spans="1:16">
      <c r="A146" s="11">
        <v>5150000</v>
      </c>
      <c r="B146" s="12">
        <v>4800</v>
      </c>
      <c r="C146" s="12">
        <v>3</v>
      </c>
      <c r="D146" s="12">
        <v>2</v>
      </c>
      <c r="E146" s="12">
        <v>2</v>
      </c>
      <c r="F146" s="12">
        <v>1</v>
      </c>
      <c r="G146" s="12">
        <v>0</v>
      </c>
      <c r="H146" s="12">
        <v>1</v>
      </c>
      <c r="I146" s="12">
        <v>0</v>
      </c>
      <c r="J146" s="12">
        <v>1</v>
      </c>
      <c r="K146" s="12">
        <v>2</v>
      </c>
      <c r="L146" s="12">
        <v>0</v>
      </c>
      <c r="M146" s="12">
        <v>0</v>
      </c>
      <c r="N146" s="13">
        <v>1</v>
      </c>
      <c r="O146" s="20"/>
      <c r="P146">
        <f>IF(AND(Table1_25[[#This Row],[price]]&gt;R$12,Table1_25[[#This Row],[price]]&lt;S$12),Table1_25[[#This Row],[price]],"")</f>
        <v>5150000</v>
      </c>
    </row>
    <row r="147" spans="1:16">
      <c r="A147" s="11">
        <v>6550000</v>
      </c>
      <c r="B147" s="12">
        <v>6050</v>
      </c>
      <c r="C147" s="12">
        <v>4</v>
      </c>
      <c r="D147" s="12">
        <v>3</v>
      </c>
      <c r="E147" s="12">
        <v>2</v>
      </c>
      <c r="F147" s="12">
        <v>1</v>
      </c>
      <c r="G147" s="12">
        <v>1</v>
      </c>
      <c r="H147" s="12">
        <v>0</v>
      </c>
      <c r="I147" s="12">
        <v>0</v>
      </c>
      <c r="J147" s="12">
        <v>1</v>
      </c>
      <c r="K147" s="12">
        <v>2</v>
      </c>
      <c r="L147" s="12">
        <v>1</v>
      </c>
      <c r="M147" s="12">
        <v>1</v>
      </c>
      <c r="N147" s="13">
        <v>0</v>
      </c>
      <c r="O147" s="20"/>
      <c r="P147">
        <f>IF(AND(Table1_25[[#This Row],[price]]&gt;R$12,Table1_25[[#This Row],[price]]&lt;S$12),Table1_25[[#This Row],[price]],"")</f>
        <v>6550000</v>
      </c>
    </row>
    <row r="148" spans="1:16">
      <c r="A148" s="11">
        <v>4450000</v>
      </c>
      <c r="B148" s="12">
        <v>4100</v>
      </c>
      <c r="C148" s="12">
        <v>3</v>
      </c>
      <c r="D148" s="12">
        <v>2</v>
      </c>
      <c r="E148" s="12">
        <v>1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2</v>
      </c>
      <c r="L148" s="12">
        <v>0</v>
      </c>
      <c r="M148" s="12">
        <v>0</v>
      </c>
      <c r="N148" s="13">
        <v>0</v>
      </c>
      <c r="O148" s="20"/>
      <c r="P148">
        <f>IF(AND(Table1_25[[#This Row],[price]]&gt;R$12,Table1_25[[#This Row],[price]]&lt;S$12),Table1_25[[#This Row],[price]],"")</f>
        <v>4450000</v>
      </c>
    </row>
    <row r="149" spans="1:16">
      <c r="A149" s="11">
        <v>3850000</v>
      </c>
      <c r="B149" s="12">
        <v>3450</v>
      </c>
      <c r="C149" s="12">
        <v>2</v>
      </c>
      <c r="D149" s="12">
        <v>1</v>
      </c>
      <c r="E149" s="12">
        <v>1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1</v>
      </c>
      <c r="L149" s="12">
        <v>0</v>
      </c>
      <c r="M149" s="12">
        <v>0</v>
      </c>
      <c r="N149" s="13">
        <v>0</v>
      </c>
      <c r="O149" s="20"/>
      <c r="P149">
        <f>IF(AND(Table1_25[[#This Row],[price]]&gt;R$12,Table1_25[[#This Row],[price]]&lt;S$12),Table1_25[[#This Row],[price]],"")</f>
        <v>3850000</v>
      </c>
    </row>
    <row r="150" spans="1:16">
      <c r="A150" s="11">
        <v>8150000</v>
      </c>
      <c r="B150" s="12">
        <v>7450</v>
      </c>
      <c r="C150" s="12">
        <v>5</v>
      </c>
      <c r="D150" s="12">
        <v>4</v>
      </c>
      <c r="E150" s="12">
        <v>3</v>
      </c>
      <c r="F150" s="12">
        <v>1</v>
      </c>
      <c r="G150" s="12">
        <v>1</v>
      </c>
      <c r="H150" s="12">
        <v>1</v>
      </c>
      <c r="I150" s="12">
        <v>0</v>
      </c>
      <c r="J150" s="12">
        <v>1</v>
      </c>
      <c r="K150" s="12">
        <v>3</v>
      </c>
      <c r="L150" s="12">
        <v>1</v>
      </c>
      <c r="M150" s="12">
        <v>1</v>
      </c>
      <c r="N150" s="13">
        <v>0</v>
      </c>
      <c r="O150" s="20"/>
      <c r="P150">
        <f>IF(AND(Table1_25[[#This Row],[price]]&gt;R$12,Table1_25[[#This Row],[price]]&lt;S$12),Table1_25[[#This Row],[price]],"")</f>
        <v>8150000</v>
      </c>
    </row>
    <row r="151" spans="1:16">
      <c r="A151" s="11">
        <v>5350000</v>
      </c>
      <c r="B151" s="12">
        <v>5000</v>
      </c>
      <c r="C151" s="12">
        <v>3</v>
      </c>
      <c r="D151" s="12">
        <v>2</v>
      </c>
      <c r="E151" s="12">
        <v>2</v>
      </c>
      <c r="F151" s="12">
        <v>1</v>
      </c>
      <c r="G151" s="12">
        <v>0</v>
      </c>
      <c r="H151" s="12">
        <v>0</v>
      </c>
      <c r="I151" s="12">
        <v>0</v>
      </c>
      <c r="J151" s="12">
        <v>1</v>
      </c>
      <c r="K151" s="12">
        <v>2</v>
      </c>
      <c r="L151" s="12">
        <v>0</v>
      </c>
      <c r="M151" s="12">
        <v>0</v>
      </c>
      <c r="N151" s="13">
        <v>1</v>
      </c>
      <c r="O151" s="20"/>
      <c r="P151">
        <f>IF(AND(Table1_25[[#This Row],[price]]&gt;R$12,Table1_25[[#This Row],[price]]&lt;S$12),Table1_25[[#This Row],[price]],"")</f>
        <v>5350000</v>
      </c>
    </row>
    <row r="152" spans="1:16">
      <c r="A152" s="11">
        <v>4250000</v>
      </c>
      <c r="B152" s="12">
        <v>3950</v>
      </c>
      <c r="C152" s="12">
        <v>3</v>
      </c>
      <c r="D152" s="12">
        <v>2</v>
      </c>
      <c r="E152" s="12">
        <v>1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1</v>
      </c>
      <c r="L152" s="12">
        <v>0</v>
      </c>
      <c r="M152" s="12">
        <v>0</v>
      </c>
      <c r="N152" s="13">
        <v>0</v>
      </c>
      <c r="O152" s="20"/>
      <c r="P152">
        <f>IF(AND(Table1_25[[#This Row],[price]]&gt;R$12,Table1_25[[#This Row],[price]]&lt;S$12),Table1_25[[#This Row],[price]],"")</f>
        <v>4250000</v>
      </c>
    </row>
    <row r="153" spans="1:16">
      <c r="A153" s="11">
        <v>6250000</v>
      </c>
      <c r="B153" s="12">
        <v>5800</v>
      </c>
      <c r="C153" s="12">
        <v>4</v>
      </c>
      <c r="D153" s="12">
        <v>3</v>
      </c>
      <c r="E153" s="12">
        <v>2</v>
      </c>
      <c r="F153" s="12">
        <v>1</v>
      </c>
      <c r="G153" s="12">
        <v>1</v>
      </c>
      <c r="H153" s="12">
        <v>0</v>
      </c>
      <c r="I153" s="12">
        <v>0</v>
      </c>
      <c r="J153" s="12">
        <v>1</v>
      </c>
      <c r="K153" s="12">
        <v>2</v>
      </c>
      <c r="L153" s="12">
        <v>1</v>
      </c>
      <c r="M153" s="12">
        <v>1</v>
      </c>
      <c r="N153" s="13">
        <v>0</v>
      </c>
      <c r="O153" s="20"/>
      <c r="P153">
        <f>IF(AND(Table1_25[[#This Row],[price]]&gt;R$12,Table1_25[[#This Row],[price]]&lt;S$12),Table1_25[[#This Row],[price]],"")</f>
        <v>6250000</v>
      </c>
    </row>
    <row r="154" spans="1:16">
      <c r="A154" s="11">
        <v>5550000</v>
      </c>
      <c r="B154" s="12">
        <v>5200</v>
      </c>
      <c r="C154" s="12">
        <v>4</v>
      </c>
      <c r="D154" s="12">
        <v>2</v>
      </c>
      <c r="E154" s="12">
        <v>2</v>
      </c>
      <c r="F154" s="12">
        <v>1</v>
      </c>
      <c r="G154" s="12">
        <v>0</v>
      </c>
      <c r="H154" s="12">
        <v>1</v>
      </c>
      <c r="I154" s="12">
        <v>0</v>
      </c>
      <c r="J154" s="12">
        <v>1</v>
      </c>
      <c r="K154" s="12">
        <v>2</v>
      </c>
      <c r="L154" s="12">
        <v>0</v>
      </c>
      <c r="M154" s="12">
        <v>0</v>
      </c>
      <c r="N154" s="13">
        <v>1</v>
      </c>
      <c r="O154" s="20"/>
      <c r="P154">
        <f>IF(AND(Table1_25[[#This Row],[price]]&gt;R$12,Table1_25[[#This Row],[price]]&lt;S$12),Table1_25[[#This Row],[price]],"")</f>
        <v>5550000</v>
      </c>
    </row>
    <row r="155" spans="1:16">
      <c r="A155" s="11">
        <v>4650000</v>
      </c>
      <c r="B155" s="12">
        <v>4300</v>
      </c>
      <c r="C155" s="12">
        <v>3</v>
      </c>
      <c r="D155" s="12">
        <v>2</v>
      </c>
      <c r="E155" s="12">
        <v>2</v>
      </c>
      <c r="F155" s="12">
        <v>1</v>
      </c>
      <c r="G155" s="12">
        <v>0</v>
      </c>
      <c r="H155" s="12">
        <v>0</v>
      </c>
      <c r="I155" s="12">
        <v>0</v>
      </c>
      <c r="J155" s="12">
        <v>0</v>
      </c>
      <c r="K155" s="12">
        <v>2</v>
      </c>
      <c r="L155" s="12">
        <v>0</v>
      </c>
      <c r="M155" s="12">
        <v>0</v>
      </c>
      <c r="N155" s="13">
        <v>1</v>
      </c>
      <c r="O155" s="20"/>
      <c r="P155">
        <f>IF(AND(Table1_25[[#This Row],[price]]&gt;R$12,Table1_25[[#This Row],[price]]&lt;S$12),Table1_25[[#This Row],[price]],"")</f>
        <v>4650000</v>
      </c>
    </row>
    <row r="156" spans="1:16">
      <c r="A156" s="11">
        <v>7350000</v>
      </c>
      <c r="B156" s="12">
        <v>6700</v>
      </c>
      <c r="C156" s="12">
        <v>5</v>
      </c>
      <c r="D156" s="12">
        <v>3</v>
      </c>
      <c r="E156" s="12">
        <v>3</v>
      </c>
      <c r="F156" s="12">
        <v>1</v>
      </c>
      <c r="G156" s="12">
        <v>1</v>
      </c>
      <c r="H156" s="12">
        <v>1</v>
      </c>
      <c r="I156" s="12">
        <v>0</v>
      </c>
      <c r="J156" s="12">
        <v>1</v>
      </c>
      <c r="K156" s="12">
        <v>3</v>
      </c>
      <c r="L156" s="12">
        <v>1</v>
      </c>
      <c r="M156" s="12">
        <v>1</v>
      </c>
      <c r="N156" s="13">
        <v>0</v>
      </c>
      <c r="O156" s="20"/>
      <c r="P156">
        <f>IF(AND(Table1_25[[#This Row],[price]]&gt;R$12,Table1_25[[#This Row],[price]]&lt;S$12),Table1_25[[#This Row],[price]],"")</f>
        <v>7350000</v>
      </c>
    </row>
    <row r="157" spans="1:16">
      <c r="A157" s="11">
        <v>4150000</v>
      </c>
      <c r="B157" s="12">
        <v>3750</v>
      </c>
      <c r="C157" s="12">
        <v>3</v>
      </c>
      <c r="D157" s="12">
        <v>2</v>
      </c>
      <c r="E157" s="12">
        <v>1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1</v>
      </c>
      <c r="L157" s="12">
        <v>0</v>
      </c>
      <c r="M157" s="12">
        <v>0</v>
      </c>
      <c r="N157" s="13">
        <v>0</v>
      </c>
      <c r="O157" s="20"/>
      <c r="P157">
        <f>IF(AND(Table1_25[[#This Row],[price]]&gt;R$12,Table1_25[[#This Row],[price]]&lt;S$12),Table1_25[[#This Row],[price]],"")</f>
        <v>4150000</v>
      </c>
    </row>
    <row r="158" spans="1:16">
      <c r="A158" s="11">
        <v>6750000</v>
      </c>
      <c r="B158" s="12">
        <v>6200</v>
      </c>
      <c r="C158" s="12">
        <v>4</v>
      </c>
      <c r="D158" s="12">
        <v>3</v>
      </c>
      <c r="E158" s="12">
        <v>2</v>
      </c>
      <c r="F158" s="12">
        <v>1</v>
      </c>
      <c r="G158" s="12">
        <v>1</v>
      </c>
      <c r="H158" s="12">
        <v>0</v>
      </c>
      <c r="I158" s="12">
        <v>0</v>
      </c>
      <c r="J158" s="12">
        <v>1</v>
      </c>
      <c r="K158" s="12">
        <v>2</v>
      </c>
      <c r="L158" s="12">
        <v>1</v>
      </c>
      <c r="M158" s="12">
        <v>1</v>
      </c>
      <c r="N158" s="13">
        <v>0</v>
      </c>
      <c r="O158" s="20"/>
      <c r="P158">
        <f>IF(AND(Table1_25[[#This Row],[price]]&gt;R$12,Table1_25[[#This Row],[price]]&lt;S$12),Table1_25[[#This Row],[price]],"")</f>
        <v>6750000</v>
      </c>
    </row>
    <row r="159" spans="1:16">
      <c r="A159" s="11">
        <v>5850000</v>
      </c>
      <c r="B159" s="12">
        <v>5500</v>
      </c>
      <c r="C159" s="12">
        <v>4</v>
      </c>
      <c r="D159" s="12">
        <v>2</v>
      </c>
      <c r="E159" s="12">
        <v>2</v>
      </c>
      <c r="F159" s="12">
        <v>1</v>
      </c>
      <c r="G159" s="12">
        <v>0</v>
      </c>
      <c r="H159" s="12">
        <v>1</v>
      </c>
      <c r="I159" s="12">
        <v>0</v>
      </c>
      <c r="J159" s="12">
        <v>1</v>
      </c>
      <c r="K159" s="12">
        <v>2</v>
      </c>
      <c r="L159" s="12">
        <v>0</v>
      </c>
      <c r="M159" s="12">
        <v>0</v>
      </c>
      <c r="N159" s="13">
        <v>1</v>
      </c>
      <c r="O159" s="20"/>
      <c r="P159">
        <f>IF(AND(Table1_25[[#This Row],[price]]&gt;R$12,Table1_25[[#This Row],[price]]&lt;S$12),Table1_25[[#This Row],[price]],"")</f>
        <v>5850000</v>
      </c>
    </row>
    <row r="160" spans="1:16">
      <c r="A160" s="11">
        <v>3550000</v>
      </c>
      <c r="B160" s="12">
        <v>3050</v>
      </c>
      <c r="C160" s="12">
        <v>2</v>
      </c>
      <c r="D160" s="12">
        <v>1</v>
      </c>
      <c r="E160" s="12">
        <v>1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1</v>
      </c>
      <c r="L160" s="12">
        <v>0</v>
      </c>
      <c r="M160" s="12">
        <v>0</v>
      </c>
      <c r="N160" s="13">
        <v>0</v>
      </c>
      <c r="O160" s="20"/>
      <c r="P160">
        <f>IF(AND(Table1_25[[#This Row],[price]]&gt;R$12,Table1_25[[#This Row],[price]]&lt;S$12),Table1_25[[#This Row],[price]],"")</f>
        <v>3550000</v>
      </c>
    </row>
    <row r="161" spans="1:16">
      <c r="A161" s="11">
        <v>8450000</v>
      </c>
      <c r="B161" s="12">
        <v>7750</v>
      </c>
      <c r="C161" s="12">
        <v>5</v>
      </c>
      <c r="D161" s="12">
        <v>4</v>
      </c>
      <c r="E161" s="12">
        <v>3</v>
      </c>
      <c r="F161" s="12">
        <v>1</v>
      </c>
      <c r="G161" s="12">
        <v>1</v>
      </c>
      <c r="H161" s="12">
        <v>1</v>
      </c>
      <c r="I161" s="12">
        <v>0</v>
      </c>
      <c r="J161" s="12">
        <v>1</v>
      </c>
      <c r="K161" s="12">
        <v>3</v>
      </c>
      <c r="L161" s="12">
        <v>1</v>
      </c>
      <c r="M161" s="12">
        <v>1</v>
      </c>
      <c r="N161" s="13">
        <v>0</v>
      </c>
      <c r="O161" s="20"/>
      <c r="P161">
        <f>IF(AND(Table1_25[[#This Row],[price]]&gt;R$12,Table1_25[[#This Row],[price]]&lt;S$12),Table1_25[[#This Row],[price]],"")</f>
        <v>8450000</v>
      </c>
    </row>
    <row r="162" spans="1:16">
      <c r="A162" s="11">
        <v>29000000</v>
      </c>
      <c r="B162" s="12">
        <v>10100</v>
      </c>
      <c r="C162" s="12">
        <v>6</v>
      </c>
      <c r="D162" s="12">
        <v>5</v>
      </c>
      <c r="E162" s="12">
        <v>4</v>
      </c>
      <c r="F162" s="12">
        <v>1</v>
      </c>
      <c r="G162" s="12">
        <v>1</v>
      </c>
      <c r="H162" s="12">
        <v>1</v>
      </c>
      <c r="I162" s="12">
        <v>1</v>
      </c>
      <c r="J162" s="12">
        <v>1</v>
      </c>
      <c r="K162" s="12">
        <v>4</v>
      </c>
      <c r="L162" s="12">
        <v>1</v>
      </c>
      <c r="M162" s="12">
        <v>1</v>
      </c>
      <c r="N162" s="13">
        <v>0</v>
      </c>
      <c r="O162" s="20"/>
      <c r="P162" t="str">
        <f>IF(AND(Table1_25[[#This Row],[price]]&gt;R$12,Table1_25[[#This Row],[price]]&lt;S$12),Table1_25[[#This Row],[price]],"")</f>
        <v/>
      </c>
    </row>
    <row r="163" spans="1:16">
      <c r="A163" s="11">
        <v>41000000</v>
      </c>
      <c r="B163" s="12">
        <v>13200</v>
      </c>
      <c r="C163" s="12">
        <v>7</v>
      </c>
      <c r="D163" s="12">
        <v>6</v>
      </c>
      <c r="E163" s="12">
        <v>5</v>
      </c>
      <c r="F163" s="12">
        <v>1</v>
      </c>
      <c r="G163" s="12">
        <v>1</v>
      </c>
      <c r="H163" s="12">
        <v>1</v>
      </c>
      <c r="I163" s="12">
        <v>1</v>
      </c>
      <c r="J163" s="12">
        <v>1</v>
      </c>
      <c r="K163" s="12">
        <v>5</v>
      </c>
      <c r="L163" s="12">
        <v>1</v>
      </c>
      <c r="M163" s="12">
        <v>1</v>
      </c>
      <c r="N163" s="13">
        <v>0</v>
      </c>
      <c r="O163" s="20"/>
      <c r="P163" t="str">
        <f>IF(AND(Table1_25[[#This Row],[price]]&gt;R$12,Table1_25[[#This Row],[price]]&lt;S$12),Table1_25[[#This Row],[price]],"")</f>
        <v/>
      </c>
    </row>
    <row r="164" spans="1:16">
      <c r="A164" s="11">
        <v>53000000</v>
      </c>
      <c r="B164" s="12">
        <v>17200</v>
      </c>
      <c r="C164" s="12">
        <v>8</v>
      </c>
      <c r="D164" s="12">
        <v>7</v>
      </c>
      <c r="E164" s="12">
        <v>6</v>
      </c>
      <c r="F164" s="12">
        <v>1</v>
      </c>
      <c r="G164" s="12">
        <v>1</v>
      </c>
      <c r="H164" s="12">
        <v>1</v>
      </c>
      <c r="I164" s="12">
        <v>1</v>
      </c>
      <c r="J164" s="12">
        <v>1</v>
      </c>
      <c r="K164" s="12">
        <v>6</v>
      </c>
      <c r="L164" s="12">
        <v>1</v>
      </c>
      <c r="M164" s="12">
        <v>1</v>
      </c>
      <c r="N164" s="13">
        <v>0</v>
      </c>
      <c r="O164" s="20"/>
      <c r="P164" t="str">
        <f>IF(AND(Table1_25[[#This Row],[price]]&gt;R$12,Table1_25[[#This Row],[price]]&lt;S$12),Table1_25[[#This Row],[price]],"")</f>
        <v/>
      </c>
    </row>
    <row r="165" spans="1:16">
      <c r="A165" s="11">
        <v>68000000</v>
      </c>
      <c r="B165" s="12">
        <v>22500</v>
      </c>
      <c r="C165" s="12">
        <v>9</v>
      </c>
      <c r="D165" s="12">
        <v>8</v>
      </c>
      <c r="E165" s="12">
        <v>7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8</v>
      </c>
      <c r="L165" s="12">
        <v>1</v>
      </c>
      <c r="M165" s="12">
        <v>1</v>
      </c>
      <c r="N165" s="13">
        <v>0</v>
      </c>
      <c r="O165" s="20"/>
      <c r="P165" t="str">
        <f>IF(AND(Table1_25[[#This Row],[price]]&gt;R$12,Table1_25[[#This Row],[price]]&lt;S$12),Table1_25[[#This Row],[price]],"")</f>
        <v/>
      </c>
    </row>
    <row r="166" spans="1:16">
      <c r="A166" s="11">
        <v>82000000</v>
      </c>
      <c r="B166" s="12">
        <v>28000</v>
      </c>
      <c r="C166" s="12">
        <v>10</v>
      </c>
      <c r="D166" s="12">
        <v>9</v>
      </c>
      <c r="E166" s="12">
        <v>9</v>
      </c>
      <c r="F166" s="12">
        <v>1</v>
      </c>
      <c r="G166" s="12">
        <v>1</v>
      </c>
      <c r="H166" s="12">
        <v>1</v>
      </c>
      <c r="I166" s="12">
        <v>1</v>
      </c>
      <c r="J166" s="12">
        <v>1</v>
      </c>
      <c r="K166" s="12">
        <v>10</v>
      </c>
      <c r="L166" s="12">
        <v>1</v>
      </c>
      <c r="M166" s="12">
        <v>1</v>
      </c>
      <c r="N166" s="13">
        <v>0</v>
      </c>
      <c r="O166" s="20"/>
      <c r="P166" t="str">
        <f>IF(AND(Table1_25[[#This Row],[price]]&gt;R$12,Table1_25[[#This Row],[price]]&lt;S$12),Table1_25[[#This Row],[price]],"")</f>
        <v/>
      </c>
    </row>
    <row r="167" spans="1:16">
      <c r="A167" s="11">
        <v>5050000</v>
      </c>
      <c r="B167" s="12">
        <v>4650</v>
      </c>
      <c r="C167" s="12">
        <v>3</v>
      </c>
      <c r="D167" s="12">
        <v>2</v>
      </c>
      <c r="E167" s="12">
        <v>2</v>
      </c>
      <c r="F167" s="12">
        <v>1</v>
      </c>
      <c r="G167" s="12">
        <v>0</v>
      </c>
      <c r="H167" s="12">
        <v>0</v>
      </c>
      <c r="I167" s="12">
        <v>0</v>
      </c>
      <c r="J167" s="12">
        <v>1</v>
      </c>
      <c r="K167" s="12">
        <v>2</v>
      </c>
      <c r="L167" s="12">
        <v>0</v>
      </c>
      <c r="M167" s="12">
        <v>0</v>
      </c>
      <c r="N167" s="13">
        <v>1</v>
      </c>
      <c r="O167" s="20"/>
      <c r="P167">
        <f>IF(AND(Table1_25[[#This Row],[price]]&gt;R$12,Table1_25[[#This Row],[price]]&lt;S$12),Table1_25[[#This Row],[price]],"")</f>
        <v>5050000</v>
      </c>
    </row>
    <row r="168" spans="1:16">
      <c r="A168" s="11">
        <v>6150000</v>
      </c>
      <c r="B168" s="12">
        <v>5750</v>
      </c>
      <c r="C168" s="12">
        <v>4</v>
      </c>
      <c r="D168" s="12">
        <v>3</v>
      </c>
      <c r="E168" s="12">
        <v>2</v>
      </c>
      <c r="F168" s="12">
        <v>1</v>
      </c>
      <c r="G168" s="12">
        <v>1</v>
      </c>
      <c r="H168" s="12">
        <v>0</v>
      </c>
      <c r="I168" s="12">
        <v>0</v>
      </c>
      <c r="J168" s="12">
        <v>1</v>
      </c>
      <c r="K168" s="12">
        <v>2</v>
      </c>
      <c r="L168" s="12">
        <v>1</v>
      </c>
      <c r="M168" s="12">
        <v>1</v>
      </c>
      <c r="N168" s="13">
        <v>0</v>
      </c>
      <c r="O168" s="20"/>
      <c r="P168">
        <f>IF(AND(Table1_25[[#This Row],[price]]&gt;R$12,Table1_25[[#This Row],[price]]&lt;S$12),Table1_25[[#This Row],[price]],"")</f>
        <v>6150000</v>
      </c>
    </row>
    <row r="169" spans="1:16">
      <c r="A169" s="11">
        <v>4550000</v>
      </c>
      <c r="B169" s="12">
        <v>4200</v>
      </c>
      <c r="C169" s="12">
        <v>3</v>
      </c>
      <c r="D169" s="12">
        <v>2</v>
      </c>
      <c r="E169" s="12">
        <v>2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2</v>
      </c>
      <c r="L169" s="12">
        <v>0</v>
      </c>
      <c r="M169" s="12">
        <v>0</v>
      </c>
      <c r="N169" s="13">
        <v>0</v>
      </c>
      <c r="O169" s="20"/>
      <c r="P169">
        <f>IF(AND(Table1_25[[#This Row],[price]]&gt;R$12,Table1_25[[#This Row],[price]]&lt;S$12),Table1_25[[#This Row],[price]],"")</f>
        <v>4550000</v>
      </c>
    </row>
    <row r="170" spans="1:16">
      <c r="A170" s="11">
        <v>7750000</v>
      </c>
      <c r="B170" s="12">
        <v>7050</v>
      </c>
      <c r="C170" s="12">
        <v>5</v>
      </c>
      <c r="D170" s="12">
        <v>3</v>
      </c>
      <c r="E170" s="12">
        <v>3</v>
      </c>
      <c r="F170" s="12">
        <v>1</v>
      </c>
      <c r="G170" s="12">
        <v>1</v>
      </c>
      <c r="H170" s="12">
        <v>1</v>
      </c>
      <c r="I170" s="12">
        <v>0</v>
      </c>
      <c r="J170" s="12">
        <v>1</v>
      </c>
      <c r="K170" s="12">
        <v>3</v>
      </c>
      <c r="L170" s="12">
        <v>1</v>
      </c>
      <c r="M170" s="12">
        <v>1</v>
      </c>
      <c r="N170" s="13">
        <v>0</v>
      </c>
      <c r="O170" s="20"/>
      <c r="P170">
        <f>IF(AND(Table1_25[[#This Row],[price]]&gt;R$12,Table1_25[[#This Row],[price]]&lt;S$12),Table1_25[[#This Row],[price]],"")</f>
        <v>7750000</v>
      </c>
    </row>
    <row r="171" spans="1:16">
      <c r="A171" s="11">
        <v>5450000</v>
      </c>
      <c r="B171" s="12">
        <v>5100</v>
      </c>
      <c r="C171" s="12">
        <v>4</v>
      </c>
      <c r="D171" s="12">
        <v>2</v>
      </c>
      <c r="E171" s="12">
        <v>2</v>
      </c>
      <c r="F171" s="12">
        <v>1</v>
      </c>
      <c r="G171" s="12">
        <v>0</v>
      </c>
      <c r="H171" s="12">
        <v>1</v>
      </c>
      <c r="I171" s="12">
        <v>0</v>
      </c>
      <c r="J171" s="12">
        <v>1</v>
      </c>
      <c r="K171" s="12">
        <v>2</v>
      </c>
      <c r="L171" s="12">
        <v>0</v>
      </c>
      <c r="M171" s="12">
        <v>0</v>
      </c>
      <c r="N171" s="13">
        <v>1</v>
      </c>
      <c r="O171" s="20"/>
      <c r="P171">
        <f>IF(AND(Table1_25[[#This Row],[price]]&gt;R$12,Table1_25[[#This Row],[price]]&lt;S$12),Table1_25[[#This Row],[price]],"")</f>
        <v>5450000</v>
      </c>
    </row>
    <row r="172" spans="1:16">
      <c r="A172" s="11">
        <v>5150000</v>
      </c>
      <c r="B172" s="12">
        <v>4750</v>
      </c>
      <c r="C172" s="12">
        <v>3</v>
      </c>
      <c r="D172" s="12">
        <v>2</v>
      </c>
      <c r="E172" s="12">
        <v>2</v>
      </c>
      <c r="F172" s="12">
        <v>1</v>
      </c>
      <c r="G172" s="12">
        <v>0</v>
      </c>
      <c r="H172" s="12">
        <v>0</v>
      </c>
      <c r="I172" s="12">
        <v>0</v>
      </c>
      <c r="J172" s="12">
        <v>1</v>
      </c>
      <c r="K172" s="12">
        <v>2</v>
      </c>
      <c r="L172" s="12">
        <v>0</v>
      </c>
      <c r="M172" s="12">
        <v>0</v>
      </c>
      <c r="N172" s="13">
        <v>1</v>
      </c>
      <c r="O172" s="20"/>
      <c r="P172">
        <f>IF(AND(Table1_25[[#This Row],[price]]&gt;R$12,Table1_25[[#This Row],[price]]&lt;S$12),Table1_25[[#This Row],[price]],"")</f>
        <v>5150000</v>
      </c>
    </row>
    <row r="173" spans="1:16">
      <c r="A173" s="11">
        <v>6050000</v>
      </c>
      <c r="B173" s="12">
        <v>5650</v>
      </c>
      <c r="C173" s="12">
        <v>4</v>
      </c>
      <c r="D173" s="12">
        <v>3</v>
      </c>
      <c r="E173" s="12">
        <v>2</v>
      </c>
      <c r="F173" s="12">
        <v>1</v>
      </c>
      <c r="G173" s="12">
        <v>1</v>
      </c>
      <c r="H173" s="12">
        <v>0</v>
      </c>
      <c r="I173" s="12">
        <v>0</v>
      </c>
      <c r="J173" s="12">
        <v>1</v>
      </c>
      <c r="K173" s="12">
        <v>2</v>
      </c>
      <c r="L173" s="12">
        <v>1</v>
      </c>
      <c r="M173" s="12">
        <v>1</v>
      </c>
      <c r="N173" s="13">
        <v>0</v>
      </c>
      <c r="O173" s="20"/>
      <c r="P173">
        <f>IF(AND(Table1_25[[#This Row],[price]]&gt;R$12,Table1_25[[#This Row],[price]]&lt;S$12),Table1_25[[#This Row],[price]],"")</f>
        <v>6050000</v>
      </c>
    </row>
    <row r="174" spans="1:16">
      <c r="A174" s="11">
        <v>3850000</v>
      </c>
      <c r="B174" s="12">
        <v>3350</v>
      </c>
      <c r="C174" s="12">
        <v>2</v>
      </c>
      <c r="D174" s="12">
        <v>1</v>
      </c>
      <c r="E174" s="12">
        <v>1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1</v>
      </c>
      <c r="L174" s="12">
        <v>0</v>
      </c>
      <c r="M174" s="12">
        <v>0</v>
      </c>
      <c r="N174" s="13">
        <v>0</v>
      </c>
      <c r="O174" s="20"/>
      <c r="P174">
        <f>IF(AND(Table1_25[[#This Row],[price]]&gt;R$12,Table1_25[[#This Row],[price]]&lt;S$12),Table1_25[[#This Row],[price]],"")</f>
        <v>3850000</v>
      </c>
    </row>
    <row r="175" spans="1:16">
      <c r="A175" s="11">
        <v>7250000</v>
      </c>
      <c r="B175" s="12">
        <v>6600</v>
      </c>
      <c r="C175" s="12">
        <v>5</v>
      </c>
      <c r="D175" s="12">
        <v>3</v>
      </c>
      <c r="E175" s="12">
        <v>3</v>
      </c>
      <c r="F175" s="12">
        <v>1</v>
      </c>
      <c r="G175" s="12">
        <v>1</v>
      </c>
      <c r="H175" s="12">
        <v>1</v>
      </c>
      <c r="I175" s="12">
        <v>0</v>
      </c>
      <c r="J175" s="12">
        <v>1</v>
      </c>
      <c r="K175" s="12">
        <v>3</v>
      </c>
      <c r="L175" s="12">
        <v>1</v>
      </c>
      <c r="M175" s="12">
        <v>1</v>
      </c>
      <c r="N175" s="13">
        <v>0</v>
      </c>
      <c r="O175" s="20"/>
      <c r="P175">
        <f>IF(AND(Table1_25[[#This Row],[price]]&gt;R$12,Table1_25[[#This Row],[price]]&lt;S$12),Table1_25[[#This Row],[price]],"")</f>
        <v>7250000</v>
      </c>
    </row>
    <row r="176" spans="1:16">
      <c r="A176" s="11">
        <v>4950000</v>
      </c>
      <c r="B176" s="12">
        <v>4550</v>
      </c>
      <c r="C176" s="12">
        <v>3</v>
      </c>
      <c r="D176" s="12">
        <v>2</v>
      </c>
      <c r="E176" s="12">
        <v>2</v>
      </c>
      <c r="F176" s="12">
        <v>1</v>
      </c>
      <c r="G176" s="12">
        <v>0</v>
      </c>
      <c r="H176" s="12">
        <v>1</v>
      </c>
      <c r="I176" s="12">
        <v>0</v>
      </c>
      <c r="J176" s="12">
        <v>1</v>
      </c>
      <c r="K176" s="12">
        <v>2</v>
      </c>
      <c r="L176" s="12">
        <v>0</v>
      </c>
      <c r="M176" s="12">
        <v>0</v>
      </c>
      <c r="N176" s="13">
        <v>1</v>
      </c>
      <c r="O176" s="20"/>
      <c r="P176">
        <f>IF(AND(Table1_25[[#This Row],[price]]&gt;R$12,Table1_25[[#This Row],[price]]&lt;S$12),Table1_25[[#This Row],[price]],"")</f>
        <v>4950000</v>
      </c>
    </row>
    <row r="177" spans="1:16">
      <c r="A177" s="11">
        <v>6750000</v>
      </c>
      <c r="B177" s="12">
        <v>6200</v>
      </c>
      <c r="C177" s="12">
        <v>4</v>
      </c>
      <c r="D177" s="12">
        <v>3</v>
      </c>
      <c r="E177" s="12">
        <v>2</v>
      </c>
      <c r="F177" s="12">
        <v>1</v>
      </c>
      <c r="G177" s="12">
        <v>1</v>
      </c>
      <c r="H177" s="12">
        <v>0</v>
      </c>
      <c r="I177" s="12">
        <v>0</v>
      </c>
      <c r="J177" s="12">
        <v>1</v>
      </c>
      <c r="K177" s="12">
        <v>2</v>
      </c>
      <c r="L177" s="12">
        <v>1</v>
      </c>
      <c r="M177" s="12">
        <v>1</v>
      </c>
      <c r="N177" s="13">
        <v>0</v>
      </c>
      <c r="O177" s="20"/>
      <c r="P177">
        <f>IF(AND(Table1_25[[#This Row],[price]]&gt;R$12,Table1_25[[#This Row],[price]]&lt;S$12),Table1_25[[#This Row],[price]],"")</f>
        <v>6750000</v>
      </c>
    </row>
    <row r="178" spans="1:16">
      <c r="A178" s="11">
        <v>4550000</v>
      </c>
      <c r="B178" s="12">
        <v>4200</v>
      </c>
      <c r="C178" s="12">
        <v>3</v>
      </c>
      <c r="D178" s="12">
        <v>2</v>
      </c>
      <c r="E178" s="12">
        <v>1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2</v>
      </c>
      <c r="L178" s="12">
        <v>0</v>
      </c>
      <c r="M178" s="12">
        <v>0</v>
      </c>
      <c r="N178" s="13">
        <v>0</v>
      </c>
      <c r="O178" s="20"/>
      <c r="P178">
        <f>IF(AND(Table1_25[[#This Row],[price]]&gt;R$12,Table1_25[[#This Row],[price]]&lt;S$12),Table1_25[[#This Row],[price]],"")</f>
        <v>4550000</v>
      </c>
    </row>
    <row r="179" spans="1:16">
      <c r="A179" s="11">
        <v>3650000</v>
      </c>
      <c r="B179" s="12">
        <v>3100</v>
      </c>
      <c r="C179" s="12">
        <v>2</v>
      </c>
      <c r="D179" s="12">
        <v>1</v>
      </c>
      <c r="E179" s="12">
        <v>1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1</v>
      </c>
      <c r="L179" s="12">
        <v>0</v>
      </c>
      <c r="M179" s="12">
        <v>0</v>
      </c>
      <c r="N179" s="13">
        <v>0</v>
      </c>
      <c r="O179" s="20"/>
      <c r="P179">
        <f>IF(AND(Table1_25[[#This Row],[price]]&gt;R$12,Table1_25[[#This Row],[price]]&lt;S$12),Table1_25[[#This Row],[price]],"")</f>
        <v>3650000</v>
      </c>
    </row>
    <row r="180" spans="1:16">
      <c r="A180" s="11">
        <v>8350000</v>
      </c>
      <c r="B180" s="12">
        <v>7600</v>
      </c>
      <c r="C180" s="12">
        <v>5</v>
      </c>
      <c r="D180" s="12">
        <v>4</v>
      </c>
      <c r="E180" s="12">
        <v>3</v>
      </c>
      <c r="F180" s="12">
        <v>1</v>
      </c>
      <c r="G180" s="12">
        <v>1</v>
      </c>
      <c r="H180" s="12">
        <v>1</v>
      </c>
      <c r="I180" s="12">
        <v>0</v>
      </c>
      <c r="J180" s="12">
        <v>1</v>
      </c>
      <c r="K180" s="12">
        <v>3</v>
      </c>
      <c r="L180" s="12">
        <v>1</v>
      </c>
      <c r="M180" s="12">
        <v>1</v>
      </c>
      <c r="N180" s="13">
        <v>0</v>
      </c>
      <c r="O180" s="20"/>
      <c r="P180">
        <f>IF(AND(Table1_25[[#This Row],[price]]&gt;R$12,Table1_25[[#This Row],[price]]&lt;S$12),Table1_25[[#This Row],[price]],"")</f>
        <v>8350000</v>
      </c>
    </row>
    <row r="181" spans="1:16">
      <c r="A181" s="11">
        <v>5450000</v>
      </c>
      <c r="B181" s="12">
        <v>5100</v>
      </c>
      <c r="C181" s="12">
        <v>3</v>
      </c>
      <c r="D181" s="12">
        <v>2</v>
      </c>
      <c r="E181" s="12">
        <v>2</v>
      </c>
      <c r="F181" s="12">
        <v>1</v>
      </c>
      <c r="G181" s="12">
        <v>0</v>
      </c>
      <c r="H181" s="12">
        <v>0</v>
      </c>
      <c r="I181" s="12">
        <v>0</v>
      </c>
      <c r="J181" s="12">
        <v>1</v>
      </c>
      <c r="K181" s="12">
        <v>2</v>
      </c>
      <c r="L181" s="12">
        <v>0</v>
      </c>
      <c r="M181" s="12">
        <v>0</v>
      </c>
      <c r="N181" s="13">
        <v>1</v>
      </c>
      <c r="O181" s="20"/>
      <c r="P181">
        <f>IF(AND(Table1_25[[#This Row],[price]]&gt;R$12,Table1_25[[#This Row],[price]]&lt;S$12),Table1_25[[#This Row],[price]],"")</f>
        <v>5450000</v>
      </c>
    </row>
    <row r="182" spans="1:16">
      <c r="A182" s="11">
        <v>4350000</v>
      </c>
      <c r="B182" s="12">
        <v>4000</v>
      </c>
      <c r="C182" s="12">
        <v>3</v>
      </c>
      <c r="D182" s="12">
        <v>2</v>
      </c>
      <c r="E182" s="12">
        <v>1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1</v>
      </c>
      <c r="L182" s="12">
        <v>0</v>
      </c>
      <c r="M182" s="12">
        <v>0</v>
      </c>
      <c r="N182" s="13">
        <v>0</v>
      </c>
      <c r="O182" s="20"/>
      <c r="P182">
        <f>IF(AND(Table1_25[[#This Row],[price]]&gt;R$12,Table1_25[[#This Row],[price]]&lt;S$12),Table1_25[[#This Row],[price]],"")</f>
        <v>4350000</v>
      </c>
    </row>
    <row r="183" spans="1:16">
      <c r="A183" s="11">
        <v>6350000</v>
      </c>
      <c r="B183" s="12">
        <v>5900</v>
      </c>
      <c r="C183" s="12">
        <v>4</v>
      </c>
      <c r="D183" s="12">
        <v>3</v>
      </c>
      <c r="E183" s="12">
        <v>2</v>
      </c>
      <c r="F183" s="12">
        <v>1</v>
      </c>
      <c r="G183" s="12">
        <v>1</v>
      </c>
      <c r="H183" s="12">
        <v>0</v>
      </c>
      <c r="I183" s="12">
        <v>0</v>
      </c>
      <c r="J183" s="12">
        <v>1</v>
      </c>
      <c r="K183" s="12">
        <v>2</v>
      </c>
      <c r="L183" s="12">
        <v>1</v>
      </c>
      <c r="M183" s="12">
        <v>1</v>
      </c>
      <c r="N183" s="13">
        <v>0</v>
      </c>
      <c r="O183" s="20"/>
      <c r="P183">
        <f>IF(AND(Table1_25[[#This Row],[price]]&gt;R$12,Table1_25[[#This Row],[price]]&lt;S$12),Table1_25[[#This Row],[price]],"")</f>
        <v>6350000</v>
      </c>
    </row>
    <row r="184" spans="1:16">
      <c r="A184" s="11">
        <v>5650000</v>
      </c>
      <c r="B184" s="12">
        <v>5300</v>
      </c>
      <c r="C184" s="12">
        <v>4</v>
      </c>
      <c r="D184" s="12">
        <v>2</v>
      </c>
      <c r="E184" s="12">
        <v>2</v>
      </c>
      <c r="F184" s="12">
        <v>1</v>
      </c>
      <c r="G184" s="12">
        <v>0</v>
      </c>
      <c r="H184" s="12">
        <v>1</v>
      </c>
      <c r="I184" s="12">
        <v>0</v>
      </c>
      <c r="J184" s="12">
        <v>1</v>
      </c>
      <c r="K184" s="12">
        <v>2</v>
      </c>
      <c r="L184" s="12">
        <v>0</v>
      </c>
      <c r="M184" s="12">
        <v>0</v>
      </c>
      <c r="N184" s="13">
        <v>1</v>
      </c>
      <c r="O184" s="20"/>
      <c r="P184">
        <f>IF(AND(Table1_25[[#This Row],[price]]&gt;R$12,Table1_25[[#This Row],[price]]&lt;S$12),Table1_25[[#This Row],[price]],"")</f>
        <v>5650000</v>
      </c>
    </row>
    <row r="185" spans="1:16">
      <c r="A185" s="11">
        <v>4750000</v>
      </c>
      <c r="B185" s="12">
        <v>4400</v>
      </c>
      <c r="C185" s="12">
        <v>3</v>
      </c>
      <c r="D185" s="12">
        <v>2</v>
      </c>
      <c r="E185" s="12">
        <v>2</v>
      </c>
      <c r="F185" s="12">
        <v>1</v>
      </c>
      <c r="G185" s="12">
        <v>0</v>
      </c>
      <c r="H185" s="12">
        <v>0</v>
      </c>
      <c r="I185" s="12">
        <v>0</v>
      </c>
      <c r="J185" s="12">
        <v>0</v>
      </c>
      <c r="K185" s="12">
        <v>2</v>
      </c>
      <c r="L185" s="12">
        <v>0</v>
      </c>
      <c r="M185" s="12">
        <v>0</v>
      </c>
      <c r="N185" s="13">
        <v>1</v>
      </c>
      <c r="O185" s="20"/>
      <c r="P185">
        <f>IF(AND(Table1_25[[#This Row],[price]]&gt;R$12,Table1_25[[#This Row],[price]]&lt;S$12),Table1_25[[#This Row],[price]],"")</f>
        <v>4750000</v>
      </c>
    </row>
    <row r="186" spans="1:16">
      <c r="A186" s="11">
        <v>7550000</v>
      </c>
      <c r="B186" s="12">
        <v>6900</v>
      </c>
      <c r="C186" s="12">
        <v>5</v>
      </c>
      <c r="D186" s="12">
        <v>3</v>
      </c>
      <c r="E186" s="12">
        <v>3</v>
      </c>
      <c r="F186" s="12">
        <v>1</v>
      </c>
      <c r="G186" s="12">
        <v>1</v>
      </c>
      <c r="H186" s="12">
        <v>1</v>
      </c>
      <c r="I186" s="12">
        <v>0</v>
      </c>
      <c r="J186" s="12">
        <v>1</v>
      </c>
      <c r="K186" s="12">
        <v>3</v>
      </c>
      <c r="L186" s="12">
        <v>1</v>
      </c>
      <c r="M186" s="12">
        <v>1</v>
      </c>
      <c r="N186" s="13">
        <v>0</v>
      </c>
      <c r="O186" s="20"/>
      <c r="P186">
        <f>IF(AND(Table1_25[[#This Row],[price]]&gt;R$12,Table1_25[[#This Row],[price]]&lt;S$12),Table1_25[[#This Row],[price]],"")</f>
        <v>7550000</v>
      </c>
    </row>
    <row r="187" spans="1:16">
      <c r="A187" s="11">
        <v>4150000</v>
      </c>
      <c r="B187" s="12">
        <v>3800</v>
      </c>
      <c r="C187" s="12">
        <v>3</v>
      </c>
      <c r="D187" s="12">
        <v>2</v>
      </c>
      <c r="E187" s="12">
        <v>1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1</v>
      </c>
      <c r="L187" s="12">
        <v>0</v>
      </c>
      <c r="M187" s="12">
        <v>0</v>
      </c>
      <c r="N187" s="13">
        <v>0</v>
      </c>
      <c r="O187" s="20"/>
      <c r="P187">
        <f>IF(AND(Table1_25[[#This Row],[price]]&gt;R$12,Table1_25[[#This Row],[price]]&lt;S$12),Table1_25[[#This Row],[price]],"")</f>
        <v>4150000</v>
      </c>
    </row>
    <row r="188" spans="1:16">
      <c r="A188" s="11">
        <v>6950000</v>
      </c>
      <c r="B188" s="12">
        <v>6350</v>
      </c>
      <c r="C188" s="12">
        <v>4</v>
      </c>
      <c r="D188" s="12">
        <v>3</v>
      </c>
      <c r="E188" s="12">
        <v>2</v>
      </c>
      <c r="F188" s="12">
        <v>1</v>
      </c>
      <c r="G188" s="12">
        <v>1</v>
      </c>
      <c r="H188" s="12">
        <v>0</v>
      </c>
      <c r="I188" s="12">
        <v>0</v>
      </c>
      <c r="J188" s="12">
        <v>1</v>
      </c>
      <c r="K188" s="12">
        <v>2</v>
      </c>
      <c r="L188" s="12">
        <v>1</v>
      </c>
      <c r="M188" s="12">
        <v>1</v>
      </c>
      <c r="N188" s="13">
        <v>0</v>
      </c>
      <c r="O188" s="20"/>
      <c r="P188">
        <f>IF(AND(Table1_25[[#This Row],[price]]&gt;R$12,Table1_25[[#This Row],[price]]&lt;S$12),Table1_25[[#This Row],[price]],"")</f>
        <v>6950000</v>
      </c>
    </row>
    <row r="189" spans="1:16">
      <c r="A189" s="11">
        <v>5850000</v>
      </c>
      <c r="B189" s="12">
        <v>5500</v>
      </c>
      <c r="C189" s="12">
        <v>4</v>
      </c>
      <c r="D189" s="12">
        <v>2</v>
      </c>
      <c r="E189" s="12">
        <v>2</v>
      </c>
      <c r="F189" s="12">
        <v>1</v>
      </c>
      <c r="G189" s="12">
        <v>0</v>
      </c>
      <c r="H189" s="12">
        <v>1</v>
      </c>
      <c r="I189" s="12">
        <v>0</v>
      </c>
      <c r="J189" s="12">
        <v>1</v>
      </c>
      <c r="K189" s="12">
        <v>2</v>
      </c>
      <c r="L189" s="12">
        <v>0</v>
      </c>
      <c r="M189" s="12">
        <v>0</v>
      </c>
      <c r="N189" s="13">
        <v>1</v>
      </c>
      <c r="O189" s="20"/>
      <c r="P189">
        <f>IF(AND(Table1_25[[#This Row],[price]]&gt;R$12,Table1_25[[#This Row],[price]]&lt;S$12),Table1_25[[#This Row],[price]],"")</f>
        <v>5850000</v>
      </c>
    </row>
    <row r="190" spans="1:16">
      <c r="A190" s="11">
        <v>3550000</v>
      </c>
      <c r="B190" s="12">
        <v>3000</v>
      </c>
      <c r="C190" s="12">
        <v>2</v>
      </c>
      <c r="D190" s="12">
        <v>1</v>
      </c>
      <c r="E190" s="12">
        <v>1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1</v>
      </c>
      <c r="L190" s="12">
        <v>0</v>
      </c>
      <c r="M190" s="12">
        <v>0</v>
      </c>
      <c r="N190" s="13">
        <v>0</v>
      </c>
      <c r="O190" s="20"/>
      <c r="P190">
        <f>IF(AND(Table1_25[[#This Row],[price]]&gt;R$12,Table1_25[[#This Row],[price]]&lt;S$12),Table1_25[[#This Row],[price]],"")</f>
        <v>3550000</v>
      </c>
    </row>
    <row r="191" spans="1:16">
      <c r="A191" s="11">
        <v>8650000</v>
      </c>
      <c r="B191" s="12">
        <v>8000</v>
      </c>
      <c r="C191" s="12">
        <v>5</v>
      </c>
      <c r="D191" s="12">
        <v>4</v>
      </c>
      <c r="E191" s="12">
        <v>3</v>
      </c>
      <c r="F191" s="12">
        <v>1</v>
      </c>
      <c r="G191" s="12">
        <v>1</v>
      </c>
      <c r="H191" s="12">
        <v>1</v>
      </c>
      <c r="I191" s="12">
        <v>0</v>
      </c>
      <c r="J191" s="12">
        <v>1</v>
      </c>
      <c r="K191" s="12">
        <v>3</v>
      </c>
      <c r="L191" s="12">
        <v>1</v>
      </c>
      <c r="M191" s="12">
        <v>1</v>
      </c>
      <c r="N191" s="13">
        <v>0</v>
      </c>
      <c r="O191" s="20"/>
      <c r="P191">
        <f>IF(AND(Table1_25[[#This Row],[price]]&gt;R$12,Table1_25[[#This Row],[price]]&lt;S$12),Table1_25[[#This Row],[price]],"")</f>
        <v>8650000</v>
      </c>
    </row>
    <row r="192" spans="1:16">
      <c r="A192" s="11">
        <v>31500000</v>
      </c>
      <c r="B192" s="12">
        <v>10800</v>
      </c>
      <c r="C192" s="12">
        <v>6</v>
      </c>
      <c r="D192" s="12">
        <v>5</v>
      </c>
      <c r="E192" s="12">
        <v>4</v>
      </c>
      <c r="F192" s="12">
        <v>1</v>
      </c>
      <c r="G192" s="12">
        <v>1</v>
      </c>
      <c r="H192" s="12">
        <v>1</v>
      </c>
      <c r="I192" s="12">
        <v>1</v>
      </c>
      <c r="J192" s="12">
        <v>1</v>
      </c>
      <c r="K192" s="12">
        <v>4</v>
      </c>
      <c r="L192" s="12">
        <v>1</v>
      </c>
      <c r="M192" s="12">
        <v>1</v>
      </c>
      <c r="N192" s="13">
        <v>0</v>
      </c>
      <c r="O192" s="20"/>
      <c r="P192" t="str">
        <f>IF(AND(Table1_25[[#This Row],[price]]&gt;R$12,Table1_25[[#This Row],[price]]&lt;S$12),Table1_25[[#This Row],[price]],"")</f>
        <v/>
      </c>
    </row>
    <row r="193" spans="1:16">
      <c r="A193" s="11">
        <v>44500000</v>
      </c>
      <c r="B193" s="12">
        <v>13800</v>
      </c>
      <c r="C193" s="12">
        <v>7</v>
      </c>
      <c r="D193" s="12">
        <v>6</v>
      </c>
      <c r="E193" s="12">
        <v>5</v>
      </c>
      <c r="F193" s="12">
        <v>1</v>
      </c>
      <c r="G193" s="12">
        <v>1</v>
      </c>
      <c r="H193" s="12">
        <v>1</v>
      </c>
      <c r="I193" s="12">
        <v>1</v>
      </c>
      <c r="J193" s="12">
        <v>1</v>
      </c>
      <c r="K193" s="12">
        <v>5</v>
      </c>
      <c r="L193" s="12">
        <v>1</v>
      </c>
      <c r="M193" s="12">
        <v>1</v>
      </c>
      <c r="N193" s="13">
        <v>0</v>
      </c>
      <c r="O193" s="20"/>
      <c r="P193" t="str">
        <f>IF(AND(Table1_25[[#This Row],[price]]&gt;R$12,Table1_25[[#This Row],[price]]&lt;S$12),Table1_25[[#This Row],[price]],"")</f>
        <v/>
      </c>
    </row>
    <row r="194" spans="1:16">
      <c r="A194" s="11">
        <v>56500000</v>
      </c>
      <c r="B194" s="12">
        <v>18200</v>
      </c>
      <c r="C194" s="12">
        <v>8</v>
      </c>
      <c r="D194" s="12">
        <v>7</v>
      </c>
      <c r="E194" s="12">
        <v>6</v>
      </c>
      <c r="F194" s="12">
        <v>1</v>
      </c>
      <c r="G194" s="12">
        <v>1</v>
      </c>
      <c r="H194" s="12">
        <v>1</v>
      </c>
      <c r="I194" s="12">
        <v>1</v>
      </c>
      <c r="J194" s="12">
        <v>1</v>
      </c>
      <c r="K194" s="12">
        <v>7</v>
      </c>
      <c r="L194" s="12">
        <v>1</v>
      </c>
      <c r="M194" s="12">
        <v>1</v>
      </c>
      <c r="N194" s="13">
        <v>0</v>
      </c>
      <c r="O194" s="20"/>
      <c r="P194" t="str">
        <f>IF(AND(Table1_25[[#This Row],[price]]&gt;R$12,Table1_25[[#This Row],[price]]&lt;S$12),Table1_25[[#This Row],[price]],"")</f>
        <v/>
      </c>
    </row>
    <row r="195" spans="1:16">
      <c r="A195" s="11">
        <v>73500000</v>
      </c>
      <c r="B195" s="12">
        <v>24000</v>
      </c>
      <c r="C195" s="12">
        <v>9</v>
      </c>
      <c r="D195" s="12">
        <v>8</v>
      </c>
      <c r="E195" s="12">
        <v>8</v>
      </c>
      <c r="F195" s="12">
        <v>1</v>
      </c>
      <c r="G195" s="12">
        <v>1</v>
      </c>
      <c r="H195" s="12">
        <v>1</v>
      </c>
      <c r="I195" s="12">
        <v>1</v>
      </c>
      <c r="J195" s="12">
        <v>1</v>
      </c>
      <c r="K195" s="12">
        <v>9</v>
      </c>
      <c r="L195" s="12">
        <v>1</v>
      </c>
      <c r="M195" s="12">
        <v>1</v>
      </c>
      <c r="N195" s="13">
        <v>0</v>
      </c>
      <c r="O195" s="20"/>
      <c r="P195" t="str">
        <f>IF(AND(Table1_25[[#This Row],[price]]&gt;R$12,Table1_25[[#This Row],[price]]&lt;S$12),Table1_25[[#This Row],[price]],"")</f>
        <v/>
      </c>
    </row>
    <row r="196" spans="1:16">
      <c r="A196" s="11">
        <v>91000000</v>
      </c>
      <c r="B196" s="12">
        <v>31000</v>
      </c>
      <c r="C196" s="12">
        <v>11</v>
      </c>
      <c r="D196" s="12">
        <v>10</v>
      </c>
      <c r="E196" s="12">
        <v>10</v>
      </c>
      <c r="F196" s="12">
        <v>1</v>
      </c>
      <c r="G196" s="12">
        <v>1</v>
      </c>
      <c r="H196" s="12">
        <v>1</v>
      </c>
      <c r="I196" s="12">
        <v>1</v>
      </c>
      <c r="J196" s="12">
        <v>1</v>
      </c>
      <c r="K196" s="12">
        <v>12</v>
      </c>
      <c r="L196" s="12">
        <v>1</v>
      </c>
      <c r="M196" s="12">
        <v>1</v>
      </c>
      <c r="N196" s="13">
        <v>0</v>
      </c>
      <c r="O196" s="20"/>
      <c r="P196" t="str">
        <f>IF(AND(Table1_25[[#This Row],[price]]&gt;R$12,Table1_25[[#This Row],[price]]&lt;S$12),Table1_25[[#This Row],[price]],"")</f>
        <v/>
      </c>
    </row>
    <row r="197" spans="1:16">
      <c r="A197" s="11">
        <v>5250000</v>
      </c>
      <c r="B197" s="12">
        <v>4850</v>
      </c>
      <c r="C197" s="12">
        <v>3</v>
      </c>
      <c r="D197" s="12">
        <v>2</v>
      </c>
      <c r="E197" s="12">
        <v>2</v>
      </c>
      <c r="F197" s="12">
        <v>1</v>
      </c>
      <c r="G197" s="12">
        <v>0</v>
      </c>
      <c r="H197" s="12">
        <v>0</v>
      </c>
      <c r="I197" s="12">
        <v>0</v>
      </c>
      <c r="J197" s="12">
        <v>1</v>
      </c>
      <c r="K197" s="12">
        <v>2</v>
      </c>
      <c r="L197" s="12">
        <v>0</v>
      </c>
      <c r="M197" s="12">
        <v>0</v>
      </c>
      <c r="N197" s="13">
        <v>1</v>
      </c>
      <c r="O197" s="20"/>
      <c r="P197">
        <f>IF(AND(Table1_25[[#This Row],[price]]&gt;R$12,Table1_25[[#This Row],[price]]&lt;S$12),Table1_25[[#This Row],[price]],"")</f>
        <v>5250000</v>
      </c>
    </row>
    <row r="198" spans="1:16">
      <c r="A198" s="11">
        <v>6150000</v>
      </c>
      <c r="B198" s="12">
        <v>5750</v>
      </c>
      <c r="C198" s="12">
        <v>4</v>
      </c>
      <c r="D198" s="12">
        <v>3</v>
      </c>
      <c r="E198" s="12">
        <v>2</v>
      </c>
      <c r="F198" s="12">
        <v>1</v>
      </c>
      <c r="G198" s="12">
        <v>1</v>
      </c>
      <c r="H198" s="12">
        <v>0</v>
      </c>
      <c r="I198" s="12">
        <v>0</v>
      </c>
      <c r="J198" s="12">
        <v>1</v>
      </c>
      <c r="K198" s="12">
        <v>2</v>
      </c>
      <c r="L198" s="12">
        <v>1</v>
      </c>
      <c r="M198" s="12">
        <v>1</v>
      </c>
      <c r="N198" s="13">
        <v>0</v>
      </c>
      <c r="O198" s="20"/>
      <c r="P198">
        <f>IF(AND(Table1_25[[#This Row],[price]]&gt;R$12,Table1_25[[#This Row],[price]]&lt;S$12),Table1_25[[#This Row],[price]],"")</f>
        <v>6150000</v>
      </c>
    </row>
    <row r="199" spans="1:16">
      <c r="A199" s="11">
        <v>4450000</v>
      </c>
      <c r="B199" s="12">
        <v>4100</v>
      </c>
      <c r="C199" s="12">
        <v>3</v>
      </c>
      <c r="D199" s="12">
        <v>2</v>
      </c>
      <c r="E199" s="12">
        <v>1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2</v>
      </c>
      <c r="L199" s="12">
        <v>0</v>
      </c>
      <c r="M199" s="12">
        <v>0</v>
      </c>
      <c r="N199" s="13">
        <v>0</v>
      </c>
      <c r="O199" s="20"/>
      <c r="P199">
        <f>IF(AND(Table1_25[[#This Row],[price]]&gt;R$12,Table1_25[[#This Row],[price]]&lt;S$12),Table1_25[[#This Row],[price]],"")</f>
        <v>4450000</v>
      </c>
    </row>
    <row r="200" spans="1:16">
      <c r="A200" s="11">
        <v>7850000</v>
      </c>
      <c r="B200" s="12">
        <v>7200</v>
      </c>
      <c r="C200" s="12">
        <v>5</v>
      </c>
      <c r="D200" s="12">
        <v>3</v>
      </c>
      <c r="E200" s="12">
        <v>3</v>
      </c>
      <c r="F200" s="12">
        <v>1</v>
      </c>
      <c r="G200" s="12">
        <v>1</v>
      </c>
      <c r="H200" s="12">
        <v>1</v>
      </c>
      <c r="I200" s="12">
        <v>0</v>
      </c>
      <c r="J200" s="12">
        <v>1</v>
      </c>
      <c r="K200" s="12">
        <v>3</v>
      </c>
      <c r="L200" s="12">
        <v>1</v>
      </c>
      <c r="M200" s="12">
        <v>1</v>
      </c>
      <c r="N200" s="13">
        <v>0</v>
      </c>
      <c r="O200" s="20"/>
      <c r="P200">
        <f>IF(AND(Table1_25[[#This Row],[price]]&gt;R$12,Table1_25[[#This Row],[price]]&lt;S$12),Table1_25[[#This Row],[price]],"")</f>
        <v>7850000</v>
      </c>
    </row>
    <row r="201" spans="1:16">
      <c r="A201" s="14">
        <v>5550000</v>
      </c>
      <c r="B201" s="15">
        <v>5200</v>
      </c>
      <c r="C201" s="15">
        <v>4</v>
      </c>
      <c r="D201" s="15">
        <v>2</v>
      </c>
      <c r="E201" s="15">
        <v>2</v>
      </c>
      <c r="F201" s="15">
        <v>1</v>
      </c>
      <c r="G201" s="15">
        <v>0</v>
      </c>
      <c r="H201" s="15">
        <v>1</v>
      </c>
      <c r="I201" s="15">
        <v>0</v>
      </c>
      <c r="J201" s="15">
        <v>1</v>
      </c>
      <c r="K201" s="15">
        <v>2</v>
      </c>
      <c r="L201" s="15">
        <v>0</v>
      </c>
      <c r="M201" s="15">
        <v>0</v>
      </c>
      <c r="N201" s="16">
        <v>1</v>
      </c>
      <c r="O201" s="20"/>
      <c r="P201">
        <f>IF(AND(Table1_25[[#This Row],[price]]&gt;R$12,Table1_25[[#This Row],[price]]&lt;S$12),Table1_25[[#This Row],[price]],"")</f>
        <v>5550000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051F-ADFC-4780-BFB7-321AEAE77E99}">
  <dimension ref="A1:N201"/>
  <sheetViews>
    <sheetView workbookViewId="0"/>
  </sheetViews>
  <sheetFormatPr defaultRowHeight="14.5"/>
  <cols>
    <col min="1" max="1" width="8.81640625" bestFit="1" customWidth="1"/>
    <col min="2" max="2" width="4.81640625" bestFit="1" customWidth="1"/>
    <col min="3" max="14" width="3.36328125" bestFit="1" customWidth="1"/>
  </cols>
  <sheetData>
    <row r="1" spans="1:14" ht="102">
      <c r="A1" s="7" t="str">
        <f>Table1_25[[#Headers],[price]]</f>
        <v>price</v>
      </c>
      <c r="B1" s="7" t="str">
        <f>Table1_25[[#Headers],[area]]</f>
        <v>area</v>
      </c>
      <c r="C1" s="7" t="str">
        <f>Table1_25[[#Headers],[bedrooms]]</f>
        <v>bedrooms</v>
      </c>
      <c r="D1" s="7" t="str">
        <f>Table1_25[[#Headers],[bathrooms]]</f>
        <v>bathrooms</v>
      </c>
      <c r="E1" s="7" t="str">
        <f>Table1_25[[#Headers],[stories]]</f>
        <v>stories</v>
      </c>
      <c r="F1" s="7" t="str">
        <f>Table1_25[[#Headers],[mainroad]]</f>
        <v>mainroad</v>
      </c>
      <c r="G1" s="7" t="str">
        <f>Table1_25[[#Headers],[guestroom]]</f>
        <v>guestroom</v>
      </c>
      <c r="H1" s="7" t="str">
        <f>Table1_25[[#Headers],[basement]]</f>
        <v>basement</v>
      </c>
      <c r="I1" s="7" t="str">
        <f>Table1_25[[#Headers],[hotwaterheating]]</f>
        <v>hotwaterheating</v>
      </c>
      <c r="J1" s="7" t="str">
        <f>Table1_25[[#Headers],[airconditioning]]</f>
        <v>airconditioning</v>
      </c>
      <c r="K1" s="7" t="str">
        <f>Table1_25[[#Headers],[parking]]</f>
        <v>parking</v>
      </c>
      <c r="L1" s="7" t="str">
        <f>Table1_25[[#Headers],[prefarea]]</f>
        <v>prefarea</v>
      </c>
      <c r="M1" s="7" t="str">
        <f>Table1_25[[#Headers],[furnishingstatus]]</f>
        <v>furnishingstatus</v>
      </c>
      <c r="N1" s="7" t="str">
        <f>Table1_25[[#Headers],[semi-furnishingstatus]]</f>
        <v>semi-furnishingstatus</v>
      </c>
    </row>
    <row r="2" spans="1:14">
      <c r="A2" cm="1">
        <f t="array" ref="A2:N2">IF(Table1_25[[#This Row],[price]]='outliar droping(1)'!P2,Table1_25[#This Row],"")</f>
        <v>13300000</v>
      </c>
      <c r="B2">
        <v>7420</v>
      </c>
      <c r="C2">
        <v>4</v>
      </c>
      <c r="D2">
        <v>2</v>
      </c>
      <c r="E2">
        <v>3</v>
      </c>
      <c r="F2">
        <v>1</v>
      </c>
      <c r="G2">
        <v>0</v>
      </c>
      <c r="H2">
        <v>0</v>
      </c>
      <c r="I2">
        <v>0</v>
      </c>
      <c r="J2">
        <v>1</v>
      </c>
      <c r="K2">
        <v>2</v>
      </c>
      <c r="L2">
        <v>1</v>
      </c>
      <c r="M2">
        <v>1</v>
      </c>
      <c r="N2">
        <v>0</v>
      </c>
    </row>
    <row r="3" spans="1:14">
      <c r="A3" t="str" cm="1">
        <f t="array" ref="A3">IF(Table1_25[[#This Row],[price]]='outliar droping(1)'!P3,Table1_25[#This Row],"")</f>
        <v/>
      </c>
    </row>
    <row r="4" spans="1:14">
      <c r="A4" t="str" cm="1">
        <f t="array" ref="A4">IF(Table1_25[[#This Row],[price]]='outliar droping(1)'!P4,Table1_25[#This Row],"")</f>
        <v/>
      </c>
    </row>
    <row r="5" spans="1:14">
      <c r="A5" cm="1">
        <f t="array" ref="A5:N5">IF(Table1_25[[#This Row],[price]]='outliar droping(1)'!P5,Table1_25[#This Row],"")</f>
        <v>13650000</v>
      </c>
      <c r="B5">
        <v>7500</v>
      </c>
      <c r="C5">
        <v>4</v>
      </c>
      <c r="D5">
        <v>2</v>
      </c>
      <c r="E5">
        <v>2</v>
      </c>
      <c r="F5">
        <v>1</v>
      </c>
      <c r="G5">
        <v>0</v>
      </c>
      <c r="H5">
        <v>1</v>
      </c>
      <c r="I5">
        <v>0</v>
      </c>
      <c r="J5">
        <v>1</v>
      </c>
      <c r="K5">
        <v>3</v>
      </c>
      <c r="L5">
        <v>1</v>
      </c>
      <c r="M5">
        <v>1</v>
      </c>
      <c r="N5">
        <v>0</v>
      </c>
    </row>
    <row r="6" spans="1:14">
      <c r="A6" cm="1">
        <f t="array" ref="A6:N6">IF(Table1_25[[#This Row],[price]]='outliar droping(1)'!P6,Table1_25[#This Row],"")</f>
        <v>12200000</v>
      </c>
      <c r="B6">
        <v>7420</v>
      </c>
      <c r="C6">
        <v>4</v>
      </c>
      <c r="D6">
        <v>1</v>
      </c>
      <c r="E6">
        <v>2</v>
      </c>
      <c r="F6">
        <v>1</v>
      </c>
      <c r="G6">
        <v>1</v>
      </c>
      <c r="H6">
        <v>1</v>
      </c>
      <c r="I6">
        <v>0</v>
      </c>
      <c r="J6">
        <v>1</v>
      </c>
      <c r="K6">
        <v>2</v>
      </c>
      <c r="L6">
        <v>0</v>
      </c>
      <c r="M6">
        <v>1</v>
      </c>
      <c r="N6">
        <v>0</v>
      </c>
    </row>
    <row r="7" spans="1:14">
      <c r="A7" cm="1">
        <f t="array" ref="A7:N7">IF(Table1_25[[#This Row],[price]]='outliar droping(1)'!P7,Table1_25[#This Row],"")</f>
        <v>11200000</v>
      </c>
      <c r="B7">
        <v>6500</v>
      </c>
      <c r="C7">
        <v>3</v>
      </c>
      <c r="D7">
        <v>2</v>
      </c>
      <c r="E7">
        <v>2</v>
      </c>
      <c r="F7">
        <v>1</v>
      </c>
      <c r="G7">
        <v>0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  <c r="N7">
        <v>1</v>
      </c>
    </row>
    <row r="8" spans="1:14">
      <c r="A8" cm="1">
        <f t="array" ref="A8:N8">IF(Table1_25[[#This Row],[price]]='outliar droping(1)'!P8,Table1_25[#This Row],"")</f>
        <v>8100000</v>
      </c>
      <c r="B8">
        <v>4800</v>
      </c>
      <c r="C8">
        <v>3</v>
      </c>
      <c r="D8">
        <v>2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</row>
    <row r="9" spans="1:14">
      <c r="A9" cm="1">
        <f t="array" ref="A9:N9">IF(Table1_25[[#This Row],[price]]='outliar droping(1)'!P9,Table1_25[#This Row],"")</f>
        <v>11950000</v>
      </c>
      <c r="B9">
        <v>5400</v>
      </c>
      <c r="C9">
        <v>4</v>
      </c>
      <c r="D9">
        <v>3</v>
      </c>
      <c r="E9">
        <v>2</v>
      </c>
      <c r="F9">
        <v>1</v>
      </c>
      <c r="G9">
        <v>1</v>
      </c>
      <c r="H9">
        <v>0</v>
      </c>
      <c r="I9">
        <v>0</v>
      </c>
      <c r="J9">
        <v>1</v>
      </c>
      <c r="K9">
        <v>2</v>
      </c>
      <c r="L9">
        <v>1</v>
      </c>
      <c r="M9">
        <v>1</v>
      </c>
      <c r="N9">
        <v>0</v>
      </c>
    </row>
    <row r="10" spans="1:14">
      <c r="A10" cm="1">
        <f t="array" ref="A10:N10">IF(Table1_25[[#This Row],[price]]='outliar droping(1)'!P10,Table1_25[#This Row],"")</f>
        <v>5200000</v>
      </c>
      <c r="B10">
        <v>3200</v>
      </c>
      <c r="C10">
        <v>2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cm="1">
        <f t="array" ref="A11:N11">IF(Table1_25[[#This Row],[price]]='outliar droping(1)'!P11,Table1_25[#This Row],"")</f>
        <v>7600000</v>
      </c>
      <c r="B11">
        <v>4100</v>
      </c>
      <c r="C11">
        <v>3</v>
      </c>
      <c r="D11">
        <v>1</v>
      </c>
      <c r="E11">
        <v>2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</row>
    <row r="12" spans="1:14">
      <c r="A12" cm="1">
        <f t="array" ref="A12:N12">IF(Table1_25[[#This Row],[price]]='outliar droping(1)'!P12,Table1_25[#This Row],"")</f>
        <v>10800000</v>
      </c>
      <c r="B12">
        <v>5600</v>
      </c>
      <c r="C12">
        <v>3</v>
      </c>
      <c r="D12">
        <v>2</v>
      </c>
      <c r="E12">
        <v>2</v>
      </c>
      <c r="F12">
        <v>1</v>
      </c>
      <c r="G12">
        <v>0</v>
      </c>
      <c r="H12">
        <v>0</v>
      </c>
      <c r="I12">
        <v>0</v>
      </c>
      <c r="J12">
        <v>1</v>
      </c>
      <c r="K12">
        <v>2</v>
      </c>
      <c r="L12">
        <v>1</v>
      </c>
      <c r="M12">
        <v>1</v>
      </c>
      <c r="N12">
        <v>0</v>
      </c>
    </row>
    <row r="13" spans="1:14">
      <c r="A13" cm="1">
        <f t="array" ref="A13:N13">IF(Table1_25[[#This Row],[price]]='outliar droping(1)'!P13,Table1_25[#This Row],"")</f>
        <v>13100000</v>
      </c>
      <c r="B13">
        <v>6200</v>
      </c>
      <c r="C13">
        <v>4</v>
      </c>
      <c r="D13">
        <v>3</v>
      </c>
      <c r="E13">
        <v>3</v>
      </c>
      <c r="F13">
        <v>1</v>
      </c>
      <c r="G13">
        <v>1</v>
      </c>
      <c r="H13">
        <v>1</v>
      </c>
      <c r="I13">
        <v>0</v>
      </c>
      <c r="J13">
        <v>1</v>
      </c>
      <c r="K13">
        <v>2</v>
      </c>
      <c r="L13">
        <v>1</v>
      </c>
      <c r="M13">
        <v>1</v>
      </c>
      <c r="N13">
        <v>0</v>
      </c>
    </row>
    <row r="14" spans="1:14">
      <c r="A14" cm="1">
        <f t="array" ref="A14:N14">IF(Table1_25[[#This Row],[price]]='outliar droping(1)'!P14,Table1_25[#This Row],"")</f>
        <v>6100000</v>
      </c>
      <c r="B14">
        <v>3700</v>
      </c>
      <c r="C14">
        <v>2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 cm="1">
        <f t="array" ref="A15:N15">IF(Table1_25[[#This Row],[price]]='outliar droping(1)'!P15,Table1_25[#This Row],"")</f>
        <v>8900000</v>
      </c>
      <c r="B15">
        <v>4550</v>
      </c>
      <c r="C15">
        <v>3</v>
      </c>
      <c r="D15">
        <v>2</v>
      </c>
      <c r="E15">
        <v>2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</row>
    <row r="16" spans="1:14">
      <c r="A16" t="str" cm="1">
        <f t="array" ref="A16">IF(Table1_25[[#This Row],[price]]='outliar droping(1)'!P16,Table1_25[#This Row],"")</f>
        <v/>
      </c>
    </row>
    <row r="17" spans="1:14">
      <c r="A17" cm="1">
        <f t="array" ref="A17:N17">IF(Table1_25[[#This Row],[price]]='outliar droping(1)'!P17,Table1_25[#This Row],"")</f>
        <v>4500000</v>
      </c>
      <c r="B17">
        <v>2850</v>
      </c>
      <c r="C17">
        <v>2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cm="1">
        <f t="array" ref="A18:N18">IF(Table1_25[[#This Row],[price]]='outliar droping(1)'!P18,Table1_25[#This Row],"")</f>
        <v>10100000</v>
      </c>
      <c r="B18">
        <v>5100</v>
      </c>
      <c r="C18">
        <v>3</v>
      </c>
      <c r="D18">
        <v>2</v>
      </c>
      <c r="E18">
        <v>2</v>
      </c>
      <c r="F18">
        <v>1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1</v>
      </c>
    </row>
    <row r="19" spans="1:14">
      <c r="A19" t="str" cm="1">
        <f t="array" ref="A19">IF(Table1_25[[#This Row],[price]]='outliar droping(1)'!P19,Table1_25[#This Row],"")</f>
        <v/>
      </c>
    </row>
    <row r="20" spans="1:14">
      <c r="A20" cm="1">
        <f t="array" ref="A20:N20">IF(Table1_25[[#This Row],[price]]='outliar droping(1)'!P20,Table1_25[#This Row],"")</f>
        <v>6500000</v>
      </c>
      <c r="B20">
        <v>3950</v>
      </c>
      <c r="C20">
        <v>2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</row>
    <row r="21" spans="1:14">
      <c r="A21" cm="1">
        <f t="array" ref="A21:N21">IF(Table1_25[[#This Row],[price]]='outliar droping(1)'!P21,Table1_25[#This Row],"")</f>
        <v>11400000</v>
      </c>
      <c r="B21">
        <v>5900</v>
      </c>
      <c r="C21">
        <v>3</v>
      </c>
      <c r="D21">
        <v>2</v>
      </c>
      <c r="E21">
        <v>2</v>
      </c>
      <c r="F21">
        <v>1</v>
      </c>
      <c r="G21">
        <v>0</v>
      </c>
      <c r="H21">
        <v>1</v>
      </c>
      <c r="I21">
        <v>0</v>
      </c>
      <c r="J21">
        <v>1</v>
      </c>
      <c r="K21">
        <v>2</v>
      </c>
      <c r="L21">
        <v>1</v>
      </c>
      <c r="M21">
        <v>0</v>
      </c>
      <c r="N21">
        <v>1</v>
      </c>
    </row>
    <row r="22" spans="1:14">
      <c r="A22" cm="1">
        <f t="array" ref="A22:N22">IF(Table1_25[[#This Row],[price]]='outliar droping(1)'!P22,Table1_25[#This Row],"")</f>
        <v>5200000</v>
      </c>
      <c r="B22">
        <v>4600</v>
      </c>
      <c r="C22">
        <v>3</v>
      </c>
      <c r="D22">
        <v>2</v>
      </c>
      <c r="E22">
        <v>2</v>
      </c>
      <c r="F22">
        <v>1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</row>
    <row r="23" spans="1:14">
      <c r="A23" cm="1">
        <f t="array" ref="A23:N23">IF(Table1_25[[#This Row],[price]]='outliar droping(1)'!P23,Table1_25[#This Row],"")</f>
        <v>6100000</v>
      </c>
      <c r="B23">
        <v>5800</v>
      </c>
      <c r="C23">
        <v>4</v>
      </c>
      <c r="D23">
        <v>3</v>
      </c>
      <c r="E23">
        <v>2</v>
      </c>
      <c r="F23">
        <v>1</v>
      </c>
      <c r="G23">
        <v>1</v>
      </c>
      <c r="H23">
        <v>0</v>
      </c>
      <c r="I23">
        <v>0</v>
      </c>
      <c r="J23">
        <v>1</v>
      </c>
      <c r="K23">
        <v>2</v>
      </c>
      <c r="L23">
        <v>1</v>
      </c>
      <c r="M23">
        <v>1</v>
      </c>
      <c r="N23">
        <v>0</v>
      </c>
    </row>
    <row r="24" spans="1:14">
      <c r="A24" cm="1">
        <f t="array" ref="A24:N24">IF(Table1_25[[#This Row],[price]]='outliar droping(1)'!P24,Table1_25[#This Row],"")</f>
        <v>3950000</v>
      </c>
      <c r="B24">
        <v>3500</v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1:14">
      <c r="A25" cm="1">
        <f t="array" ref="A25:N25">IF(Table1_25[[#This Row],[price]]='outliar droping(1)'!P25,Table1_25[#This Row],"")</f>
        <v>7200000</v>
      </c>
      <c r="B25">
        <v>6400</v>
      </c>
      <c r="C25">
        <v>4</v>
      </c>
      <c r="D25">
        <v>3</v>
      </c>
      <c r="E25">
        <v>3</v>
      </c>
      <c r="F25">
        <v>1</v>
      </c>
      <c r="G25">
        <v>1</v>
      </c>
      <c r="H25">
        <v>1</v>
      </c>
      <c r="I25">
        <v>0</v>
      </c>
      <c r="J25">
        <v>1</v>
      </c>
      <c r="K25">
        <v>2</v>
      </c>
      <c r="L25">
        <v>1</v>
      </c>
      <c r="M25">
        <v>1</v>
      </c>
      <c r="N25">
        <v>0</v>
      </c>
    </row>
    <row r="26" spans="1:14">
      <c r="A26" cm="1">
        <f t="array" ref="A26:N26">IF(Table1_25[[#This Row],[price]]='outliar droping(1)'!P26,Table1_25[#This Row],"")</f>
        <v>4550000</v>
      </c>
      <c r="B26">
        <v>4100</v>
      </c>
      <c r="C26">
        <v>3</v>
      </c>
      <c r="D26">
        <v>2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</row>
    <row r="27" spans="1:14">
      <c r="A27" cm="1">
        <f t="array" ref="A27:N27">IF(Table1_25[[#This Row],[price]]='outliar droping(1)'!P27,Table1_25[#This Row],"")</f>
        <v>6850000</v>
      </c>
      <c r="B27">
        <v>6000</v>
      </c>
      <c r="C27">
        <v>4</v>
      </c>
      <c r="D27">
        <v>2</v>
      </c>
      <c r="E27">
        <v>2</v>
      </c>
      <c r="F27">
        <v>1</v>
      </c>
      <c r="G27">
        <v>1</v>
      </c>
      <c r="H27">
        <v>0</v>
      </c>
      <c r="I27">
        <v>0</v>
      </c>
      <c r="J27">
        <v>1</v>
      </c>
      <c r="K27">
        <v>2</v>
      </c>
      <c r="L27">
        <v>1</v>
      </c>
      <c r="M27">
        <v>1</v>
      </c>
      <c r="N27">
        <v>0</v>
      </c>
    </row>
    <row r="28" spans="1:14">
      <c r="A28" cm="1">
        <f t="array" ref="A28:N28">IF(Table1_25[[#This Row],[price]]='outliar droping(1)'!P28,Table1_25[#This Row],"")</f>
        <v>5400000</v>
      </c>
      <c r="B28">
        <v>5000</v>
      </c>
      <c r="C28">
        <v>3</v>
      </c>
      <c r="D28">
        <v>2</v>
      </c>
      <c r="E28">
        <v>2</v>
      </c>
      <c r="F28">
        <v>1</v>
      </c>
      <c r="G28">
        <v>0</v>
      </c>
      <c r="H28">
        <v>1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</row>
    <row r="29" spans="1:14">
      <c r="A29" cm="1">
        <f t="array" ref="A29:N29">IF(Table1_25[[#This Row],[price]]='outliar droping(1)'!P29,Table1_25[#This Row],"")</f>
        <v>3350000</v>
      </c>
      <c r="B29">
        <v>3000</v>
      </c>
      <c r="C29">
        <v>2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>
      <c r="A30" cm="1">
        <f t="array" ref="A30:N30">IF(Table1_25[[#This Row],[price]]='outliar droping(1)'!P30,Table1_25[#This Row],"")</f>
        <v>8100000</v>
      </c>
      <c r="B30">
        <v>7200</v>
      </c>
      <c r="C30">
        <v>5</v>
      </c>
      <c r="D30">
        <v>3</v>
      </c>
      <c r="E30">
        <v>3</v>
      </c>
      <c r="F30">
        <v>1</v>
      </c>
      <c r="G30">
        <v>1</v>
      </c>
      <c r="H30">
        <v>1</v>
      </c>
      <c r="I30">
        <v>0</v>
      </c>
      <c r="J30">
        <v>1</v>
      </c>
      <c r="K30">
        <v>3</v>
      </c>
      <c r="L30">
        <v>1</v>
      </c>
      <c r="M30">
        <v>1</v>
      </c>
      <c r="N30">
        <v>0</v>
      </c>
    </row>
    <row r="31" spans="1:14">
      <c r="A31" cm="1">
        <f t="array" ref="A31:N31">IF(Table1_25[[#This Row],[price]]='outliar droping(1)'!P31,Table1_25[#This Row],"")</f>
        <v>4900000</v>
      </c>
      <c r="B31">
        <v>4300</v>
      </c>
      <c r="C31">
        <v>3</v>
      </c>
      <c r="D31">
        <v>2</v>
      </c>
      <c r="E31">
        <v>2</v>
      </c>
      <c r="F31">
        <v>1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</row>
    <row r="32" spans="1:14">
      <c r="A32" cm="1">
        <f t="array" ref="A32:N32">IF(Table1_25[[#This Row],[price]]='outliar droping(1)'!P32,Table1_25[#This Row],"")</f>
        <v>3750000</v>
      </c>
      <c r="B32">
        <v>3400</v>
      </c>
      <c r="C32">
        <v>2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</row>
    <row r="33" spans="1:14">
      <c r="A33" cm="1">
        <f t="array" ref="A33:N33">IF(Table1_25[[#This Row],[price]]='outliar droping(1)'!P33,Table1_25[#This Row],"")</f>
        <v>6400000</v>
      </c>
      <c r="B33">
        <v>5700</v>
      </c>
      <c r="C33">
        <v>4</v>
      </c>
      <c r="D33">
        <v>2</v>
      </c>
      <c r="E33">
        <v>2</v>
      </c>
      <c r="F33">
        <v>1</v>
      </c>
      <c r="G33">
        <v>1</v>
      </c>
      <c r="H33">
        <v>0</v>
      </c>
      <c r="I33">
        <v>0</v>
      </c>
      <c r="J33">
        <v>1</v>
      </c>
      <c r="K33">
        <v>2</v>
      </c>
      <c r="L33">
        <v>1</v>
      </c>
      <c r="M33">
        <v>1</v>
      </c>
      <c r="N33">
        <v>0</v>
      </c>
    </row>
    <row r="34" spans="1:14">
      <c r="A34" cm="1">
        <f t="array" ref="A34:N34">IF(Table1_25[[#This Row],[price]]='outliar droping(1)'!P34,Table1_25[#This Row],"")</f>
        <v>5650000</v>
      </c>
      <c r="B34">
        <v>5200</v>
      </c>
      <c r="C34">
        <v>3</v>
      </c>
      <c r="D34">
        <v>2</v>
      </c>
      <c r="E34">
        <v>2</v>
      </c>
      <c r="F34">
        <v>1</v>
      </c>
      <c r="G34">
        <v>0</v>
      </c>
      <c r="H34">
        <v>1</v>
      </c>
      <c r="I34">
        <v>0</v>
      </c>
      <c r="J34">
        <v>1</v>
      </c>
      <c r="K34">
        <v>2</v>
      </c>
      <c r="L34">
        <v>0</v>
      </c>
      <c r="M34">
        <v>0</v>
      </c>
      <c r="N34">
        <v>1</v>
      </c>
    </row>
    <row r="35" spans="1:14">
      <c r="A35" cm="1">
        <f t="array" ref="A35:N35">IF(Table1_25[[#This Row],[price]]='outliar droping(1)'!P35,Table1_25[#This Row],"")</f>
        <v>4700000</v>
      </c>
      <c r="B35">
        <v>4400</v>
      </c>
      <c r="C35">
        <v>3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1</v>
      </c>
    </row>
    <row r="36" spans="1:14">
      <c r="A36" cm="1">
        <f t="array" ref="A36:N36">IF(Table1_25[[#This Row],[price]]='outliar droping(1)'!P36,Table1_25[#This Row],"")</f>
        <v>7600000</v>
      </c>
      <c r="B36">
        <v>6800</v>
      </c>
      <c r="C36">
        <v>5</v>
      </c>
      <c r="D36">
        <v>3</v>
      </c>
      <c r="E36">
        <v>3</v>
      </c>
      <c r="F36">
        <v>1</v>
      </c>
      <c r="G36">
        <v>1</v>
      </c>
      <c r="H36">
        <v>1</v>
      </c>
      <c r="I36">
        <v>0</v>
      </c>
      <c r="J36">
        <v>1</v>
      </c>
      <c r="K36">
        <v>3</v>
      </c>
      <c r="L36">
        <v>1</v>
      </c>
      <c r="M36">
        <v>1</v>
      </c>
      <c r="N36">
        <v>0</v>
      </c>
    </row>
    <row r="37" spans="1:14">
      <c r="A37" cm="1">
        <f t="array" ref="A37:N37">IF(Table1_25[[#This Row],[price]]='outliar droping(1)'!P37,Table1_25[#This Row],"")</f>
        <v>4200000</v>
      </c>
      <c r="B37">
        <v>3900</v>
      </c>
      <c r="C37">
        <v>3</v>
      </c>
      <c r="D37">
        <v>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</row>
    <row r="38" spans="1:14">
      <c r="A38" cm="1">
        <f t="array" ref="A38:N38">IF(Table1_25[[#This Row],[price]]='outliar droping(1)'!P38,Table1_25[#This Row],"")</f>
        <v>6950000</v>
      </c>
      <c r="B38">
        <v>6100</v>
      </c>
      <c r="C38">
        <v>4</v>
      </c>
      <c r="D38">
        <v>3</v>
      </c>
      <c r="E38">
        <v>2</v>
      </c>
      <c r="F38">
        <v>1</v>
      </c>
      <c r="G38">
        <v>1</v>
      </c>
      <c r="H38">
        <v>0</v>
      </c>
      <c r="I38">
        <v>0</v>
      </c>
      <c r="J38">
        <v>1</v>
      </c>
      <c r="K38">
        <v>2</v>
      </c>
      <c r="L38">
        <v>1</v>
      </c>
      <c r="M38">
        <v>1</v>
      </c>
      <c r="N38">
        <v>0</v>
      </c>
    </row>
    <row r="39" spans="1:14">
      <c r="A39" cm="1">
        <f t="array" ref="A39:N39">IF(Table1_25[[#This Row],[price]]='outliar droping(1)'!P39,Table1_25[#This Row],"")</f>
        <v>5150000</v>
      </c>
      <c r="B39">
        <v>4800</v>
      </c>
      <c r="C39">
        <v>3</v>
      </c>
      <c r="D39">
        <v>2</v>
      </c>
      <c r="E39">
        <v>2</v>
      </c>
      <c r="F39">
        <v>1</v>
      </c>
      <c r="G39">
        <v>0</v>
      </c>
      <c r="H39">
        <v>1</v>
      </c>
      <c r="I39">
        <v>0</v>
      </c>
      <c r="J39">
        <v>1</v>
      </c>
      <c r="K39">
        <v>2</v>
      </c>
      <c r="L39">
        <v>0</v>
      </c>
      <c r="M39">
        <v>0</v>
      </c>
      <c r="N39">
        <v>1</v>
      </c>
    </row>
    <row r="40" spans="1:14">
      <c r="A40" cm="1">
        <f t="array" ref="A40:N40">IF(Table1_25[[#This Row],[price]]='outliar droping(1)'!P40,Table1_25[#This Row],"")</f>
        <v>3600000</v>
      </c>
      <c r="B40">
        <v>3200</v>
      </c>
      <c r="C40">
        <v>2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</row>
    <row r="41" spans="1:14">
      <c r="A41" cm="1">
        <f t="array" ref="A41:N41">IF(Table1_25[[#This Row],[price]]='outliar droping(1)'!P41,Table1_25[#This Row],"")</f>
        <v>8350000</v>
      </c>
      <c r="B41">
        <v>7400</v>
      </c>
      <c r="C41">
        <v>5</v>
      </c>
      <c r="D41">
        <v>3</v>
      </c>
      <c r="E41">
        <v>3</v>
      </c>
      <c r="F41">
        <v>1</v>
      </c>
      <c r="G41">
        <v>1</v>
      </c>
      <c r="H41">
        <v>1</v>
      </c>
      <c r="I41">
        <v>0</v>
      </c>
      <c r="J41">
        <v>1</v>
      </c>
      <c r="K41">
        <v>3</v>
      </c>
      <c r="L41">
        <v>1</v>
      </c>
      <c r="M41">
        <v>1</v>
      </c>
      <c r="N41">
        <v>0</v>
      </c>
    </row>
    <row r="42" spans="1:14">
      <c r="A42" t="str" cm="1">
        <f t="array" ref="A42">IF(Table1_25[[#This Row],[price]]='outliar droping(1)'!P42,Table1_25[#This Row],"")</f>
        <v/>
      </c>
    </row>
    <row r="43" spans="1:14">
      <c r="A43" t="str" cm="1">
        <f t="array" ref="A43">IF(Table1_25[[#This Row],[price]]='outliar droping(1)'!P43,Table1_25[#This Row],"")</f>
        <v/>
      </c>
    </row>
    <row r="44" spans="1:14">
      <c r="A44" t="str" cm="1">
        <f t="array" ref="A44">IF(Table1_25[[#This Row],[price]]='outliar droping(1)'!P44,Table1_25[#This Row],"")</f>
        <v/>
      </c>
    </row>
    <row r="45" spans="1:14">
      <c r="A45" t="str" cm="1">
        <f t="array" ref="A45">IF(Table1_25[[#This Row],[price]]='outliar droping(1)'!P45,Table1_25[#This Row],"")</f>
        <v/>
      </c>
    </row>
    <row r="46" spans="1:14">
      <c r="A46" t="str" cm="1">
        <f t="array" ref="A46">IF(Table1_25[[#This Row],[price]]='outliar droping(1)'!P46,Table1_25[#This Row],"")</f>
        <v/>
      </c>
    </row>
    <row r="47" spans="1:14">
      <c r="A47" cm="1">
        <f t="array" ref="A47:N47">IF(Table1_25[[#This Row],[price]]='outliar droping(1)'!P47,Table1_25[#This Row],"")</f>
        <v>4400000</v>
      </c>
      <c r="B47">
        <v>4050</v>
      </c>
      <c r="C47">
        <v>3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1</v>
      </c>
    </row>
    <row r="48" spans="1:14">
      <c r="A48" cm="1">
        <f t="array" ref="A48:N48">IF(Table1_25[[#This Row],[price]]='outliar droping(1)'!P48,Table1_25[#This Row],"")</f>
        <v>5850000</v>
      </c>
      <c r="B48">
        <v>5600</v>
      </c>
      <c r="C48">
        <v>4</v>
      </c>
      <c r="D48">
        <v>2</v>
      </c>
      <c r="E48">
        <v>2</v>
      </c>
      <c r="F48">
        <v>1</v>
      </c>
      <c r="G48">
        <v>1</v>
      </c>
      <c r="H48">
        <v>0</v>
      </c>
      <c r="I48">
        <v>0</v>
      </c>
      <c r="J48">
        <v>1</v>
      </c>
      <c r="K48">
        <v>2</v>
      </c>
      <c r="L48">
        <v>1</v>
      </c>
      <c r="M48">
        <v>1</v>
      </c>
      <c r="N48">
        <v>0</v>
      </c>
    </row>
    <row r="49" spans="1:14">
      <c r="A49" cm="1">
        <f t="array" ref="A49:N49">IF(Table1_25[[#This Row],[price]]='outliar droping(1)'!P49,Table1_25[#This Row],"")</f>
        <v>5050000</v>
      </c>
      <c r="B49">
        <v>4700</v>
      </c>
      <c r="C49">
        <v>3</v>
      </c>
      <c r="D49">
        <v>2</v>
      </c>
      <c r="E49">
        <v>2</v>
      </c>
      <c r="F49">
        <v>1</v>
      </c>
      <c r="G49">
        <v>0</v>
      </c>
      <c r="H49">
        <v>1</v>
      </c>
      <c r="I49">
        <v>0</v>
      </c>
      <c r="J49">
        <v>1</v>
      </c>
      <c r="K49">
        <v>2</v>
      </c>
      <c r="L49">
        <v>0</v>
      </c>
      <c r="M49">
        <v>0</v>
      </c>
      <c r="N49">
        <v>1</v>
      </c>
    </row>
    <row r="50" spans="1:14">
      <c r="A50" cm="1">
        <f t="array" ref="A50:N50">IF(Table1_25[[#This Row],[price]]='outliar droping(1)'!P50,Table1_25[#This Row],"")</f>
        <v>3900000</v>
      </c>
      <c r="B50">
        <v>3450</v>
      </c>
      <c r="C50">
        <v>2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</row>
    <row r="51" spans="1:14">
      <c r="A51" cm="1">
        <f t="array" ref="A51:N51">IF(Table1_25[[#This Row],[price]]='outliar droping(1)'!P51,Table1_25[#This Row],"")</f>
        <v>7300000</v>
      </c>
      <c r="B51">
        <v>6600</v>
      </c>
      <c r="C51">
        <v>5</v>
      </c>
      <c r="D51">
        <v>3</v>
      </c>
      <c r="E51">
        <v>3</v>
      </c>
      <c r="F51">
        <v>1</v>
      </c>
      <c r="G51">
        <v>1</v>
      </c>
      <c r="H51">
        <v>1</v>
      </c>
      <c r="I51">
        <v>0</v>
      </c>
      <c r="J51">
        <v>1</v>
      </c>
      <c r="K51">
        <v>3</v>
      </c>
      <c r="L51">
        <v>1</v>
      </c>
      <c r="M51">
        <v>1</v>
      </c>
      <c r="N51">
        <v>0</v>
      </c>
    </row>
    <row r="52" spans="1:14">
      <c r="A52" cm="1">
        <f t="array" ref="A52:N52">IF(Table1_25[[#This Row],[price]]='outliar droping(1)'!P52,Table1_25[#This Row],"")</f>
        <v>4650000</v>
      </c>
      <c r="B52">
        <v>4350</v>
      </c>
      <c r="C52">
        <v>3</v>
      </c>
      <c r="D52">
        <v>2</v>
      </c>
      <c r="E52">
        <v>2</v>
      </c>
      <c r="F52">
        <v>1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0</v>
      </c>
      <c r="N52">
        <v>1</v>
      </c>
    </row>
    <row r="53" spans="1:14">
      <c r="A53" cm="1">
        <f t="array" ref="A53:N53">IF(Table1_25[[#This Row],[price]]='outliar droping(1)'!P53,Table1_25[#This Row],"")</f>
        <v>5450000</v>
      </c>
      <c r="B53">
        <v>5100</v>
      </c>
      <c r="C53">
        <v>3</v>
      </c>
      <c r="D53">
        <v>2</v>
      </c>
      <c r="E53">
        <v>2</v>
      </c>
      <c r="F53">
        <v>1</v>
      </c>
      <c r="G53">
        <v>1</v>
      </c>
      <c r="H53">
        <v>0</v>
      </c>
      <c r="I53">
        <v>0</v>
      </c>
      <c r="J53">
        <v>1</v>
      </c>
      <c r="K53">
        <v>2</v>
      </c>
      <c r="L53">
        <v>1</v>
      </c>
      <c r="M53">
        <v>1</v>
      </c>
      <c r="N53">
        <v>0</v>
      </c>
    </row>
    <row r="54" spans="1:14">
      <c r="A54" cm="1">
        <f t="array" ref="A54:N54">IF(Table1_25[[#This Row],[price]]='outliar droping(1)'!P54,Table1_25[#This Row],"")</f>
        <v>3850000</v>
      </c>
      <c r="B54">
        <v>3250</v>
      </c>
      <c r="C54">
        <v>2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</row>
    <row r="55" spans="1:14">
      <c r="A55" cm="1">
        <f t="array" ref="A55:N55">IF(Table1_25[[#This Row],[price]]='outliar droping(1)'!P55,Table1_25[#This Row],"")</f>
        <v>6150000</v>
      </c>
      <c r="B55">
        <v>5900</v>
      </c>
      <c r="C55">
        <v>4</v>
      </c>
      <c r="D55">
        <v>3</v>
      </c>
      <c r="E55">
        <v>2</v>
      </c>
      <c r="F55">
        <v>1</v>
      </c>
      <c r="G55">
        <v>1</v>
      </c>
      <c r="H55">
        <v>1</v>
      </c>
      <c r="I55">
        <v>0</v>
      </c>
      <c r="J55">
        <v>1</v>
      </c>
      <c r="K55">
        <v>2</v>
      </c>
      <c r="L55">
        <v>1</v>
      </c>
      <c r="M55">
        <v>1</v>
      </c>
      <c r="N55">
        <v>0</v>
      </c>
    </row>
    <row r="56" spans="1:14">
      <c r="A56" cm="1">
        <f t="array" ref="A56:N56">IF(Table1_25[[#This Row],[price]]='outliar droping(1)'!P56,Table1_25[#This Row],"")</f>
        <v>4950000</v>
      </c>
      <c r="B56">
        <v>4550</v>
      </c>
      <c r="C56">
        <v>3</v>
      </c>
      <c r="D56">
        <v>2</v>
      </c>
      <c r="E56">
        <v>2</v>
      </c>
      <c r="F56">
        <v>1</v>
      </c>
      <c r="G56">
        <v>0</v>
      </c>
      <c r="H56">
        <v>1</v>
      </c>
      <c r="I56">
        <v>0</v>
      </c>
      <c r="J56">
        <v>1</v>
      </c>
      <c r="K56">
        <v>2</v>
      </c>
      <c r="L56">
        <v>0</v>
      </c>
      <c r="M56">
        <v>0</v>
      </c>
      <c r="N56">
        <v>1</v>
      </c>
    </row>
    <row r="57" spans="1:14">
      <c r="A57" cm="1">
        <f t="array" ref="A57:N57">IF(Table1_25[[#This Row],[price]]='outliar droping(1)'!P57,Table1_25[#This Row],"")</f>
        <v>7050000</v>
      </c>
      <c r="B57">
        <v>6550</v>
      </c>
      <c r="C57">
        <v>4</v>
      </c>
      <c r="D57">
        <v>3</v>
      </c>
      <c r="E57">
        <v>3</v>
      </c>
      <c r="F57">
        <v>1</v>
      </c>
      <c r="G57">
        <v>1</v>
      </c>
      <c r="H57">
        <v>0</v>
      </c>
      <c r="I57">
        <v>0</v>
      </c>
      <c r="J57">
        <v>1</v>
      </c>
      <c r="K57">
        <v>3</v>
      </c>
      <c r="L57">
        <v>1</v>
      </c>
      <c r="M57">
        <v>1</v>
      </c>
      <c r="N57">
        <v>0</v>
      </c>
    </row>
    <row r="58" spans="1:14">
      <c r="A58" cm="1">
        <f t="array" ref="A58:N58">IF(Table1_25[[#This Row],[price]]='outliar droping(1)'!P58,Table1_25[#This Row],"")</f>
        <v>4450000</v>
      </c>
      <c r="B58">
        <v>4150</v>
      </c>
      <c r="C58">
        <v>3</v>
      </c>
      <c r="D58">
        <v>2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1</v>
      </c>
    </row>
    <row r="59" spans="1:14">
      <c r="A59" cm="1">
        <f t="array" ref="A59:N59">IF(Table1_25[[#This Row],[price]]='outliar droping(1)'!P59,Table1_25[#This Row],"")</f>
        <v>3650000</v>
      </c>
      <c r="B59">
        <v>3150</v>
      </c>
      <c r="C59">
        <v>2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</row>
    <row r="60" spans="1:14">
      <c r="A60" cm="1">
        <f t="array" ref="A60:N60">IF(Table1_25[[#This Row],[price]]='outliar droping(1)'!P60,Table1_25[#This Row],"")</f>
        <v>7750000</v>
      </c>
      <c r="B60">
        <v>7100</v>
      </c>
      <c r="C60">
        <v>5</v>
      </c>
      <c r="D60">
        <v>3</v>
      </c>
      <c r="E60">
        <v>3</v>
      </c>
      <c r="F60">
        <v>1</v>
      </c>
      <c r="G60">
        <v>1</v>
      </c>
      <c r="H60">
        <v>1</v>
      </c>
      <c r="I60">
        <v>0</v>
      </c>
      <c r="J60">
        <v>1</v>
      </c>
      <c r="K60">
        <v>3</v>
      </c>
      <c r="L60">
        <v>1</v>
      </c>
      <c r="M60">
        <v>1</v>
      </c>
      <c r="N60">
        <v>0</v>
      </c>
    </row>
    <row r="61" spans="1:14">
      <c r="A61" cm="1">
        <f t="array" ref="A61:N61">IF(Table1_25[[#This Row],[price]]='outliar droping(1)'!P61,Table1_25[#This Row],"")</f>
        <v>5250000</v>
      </c>
      <c r="B61">
        <v>4950</v>
      </c>
      <c r="C61">
        <v>3</v>
      </c>
      <c r="D61">
        <v>2</v>
      </c>
      <c r="E61">
        <v>2</v>
      </c>
      <c r="F61">
        <v>1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0</v>
      </c>
      <c r="N61">
        <v>1</v>
      </c>
    </row>
    <row r="62" spans="1:14">
      <c r="A62" cm="1">
        <f t="array" ref="A62:N62">IF(Table1_25[[#This Row],[price]]='outliar droping(1)'!P62,Table1_25[#This Row],"")</f>
        <v>4350000</v>
      </c>
      <c r="B62">
        <v>4050</v>
      </c>
      <c r="C62">
        <v>3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</row>
    <row r="63" spans="1:14">
      <c r="A63" cm="1">
        <f t="array" ref="A63:N63">IF(Table1_25[[#This Row],[price]]='outliar droping(1)'!P63,Table1_25[#This Row],"")</f>
        <v>6550000</v>
      </c>
      <c r="B63">
        <v>6050</v>
      </c>
      <c r="C63">
        <v>4</v>
      </c>
      <c r="D63">
        <v>2</v>
      </c>
      <c r="E63">
        <v>2</v>
      </c>
      <c r="F63">
        <v>1</v>
      </c>
      <c r="G63">
        <v>1</v>
      </c>
      <c r="H63">
        <v>0</v>
      </c>
      <c r="I63">
        <v>0</v>
      </c>
      <c r="J63">
        <v>1</v>
      </c>
      <c r="K63">
        <v>2</v>
      </c>
      <c r="L63">
        <v>1</v>
      </c>
      <c r="M63">
        <v>1</v>
      </c>
      <c r="N63">
        <v>0</v>
      </c>
    </row>
    <row r="64" spans="1:14">
      <c r="A64" cm="1">
        <f t="array" ref="A64:N64">IF(Table1_25[[#This Row],[price]]='outliar droping(1)'!P64,Table1_25[#This Row],"")</f>
        <v>5750000</v>
      </c>
      <c r="B64">
        <v>5450</v>
      </c>
      <c r="C64">
        <v>4</v>
      </c>
      <c r="D64">
        <v>2</v>
      </c>
      <c r="E64">
        <v>2</v>
      </c>
      <c r="F64">
        <v>1</v>
      </c>
      <c r="G64">
        <v>0</v>
      </c>
      <c r="H64">
        <v>1</v>
      </c>
      <c r="I64">
        <v>0</v>
      </c>
      <c r="J64">
        <v>1</v>
      </c>
      <c r="K64">
        <v>2</v>
      </c>
      <c r="L64">
        <v>0</v>
      </c>
      <c r="M64">
        <v>0</v>
      </c>
      <c r="N64">
        <v>1</v>
      </c>
    </row>
    <row r="65" spans="1:14">
      <c r="A65" cm="1">
        <f t="array" ref="A65:N65">IF(Table1_25[[#This Row],[price]]='outliar droping(1)'!P65,Table1_25[#This Row],"")</f>
        <v>4850000</v>
      </c>
      <c r="B65">
        <v>4450</v>
      </c>
      <c r="C65">
        <v>3</v>
      </c>
      <c r="D65">
        <v>2</v>
      </c>
      <c r="E65">
        <v>2</v>
      </c>
      <c r="F65">
        <v>1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>
        <v>1</v>
      </c>
    </row>
    <row r="66" spans="1:14">
      <c r="A66" cm="1">
        <f t="array" ref="A66:N66">IF(Table1_25[[#This Row],[price]]='outliar droping(1)'!P66,Table1_25[#This Row],"")</f>
        <v>7350000</v>
      </c>
      <c r="B66">
        <v>6700</v>
      </c>
      <c r="C66">
        <v>5</v>
      </c>
      <c r="D66">
        <v>3</v>
      </c>
      <c r="E66">
        <v>3</v>
      </c>
      <c r="F66">
        <v>1</v>
      </c>
      <c r="G66">
        <v>1</v>
      </c>
      <c r="H66">
        <v>1</v>
      </c>
      <c r="I66">
        <v>0</v>
      </c>
      <c r="J66">
        <v>1</v>
      </c>
      <c r="K66">
        <v>3</v>
      </c>
      <c r="L66">
        <v>1</v>
      </c>
      <c r="M66">
        <v>1</v>
      </c>
      <c r="N66">
        <v>0</v>
      </c>
    </row>
    <row r="67" spans="1:14">
      <c r="A67" cm="1">
        <f t="array" ref="A67:N67">IF(Table1_25[[#This Row],[price]]='outliar droping(1)'!P67,Table1_25[#This Row],"")</f>
        <v>4150000</v>
      </c>
      <c r="B67">
        <v>3850</v>
      </c>
      <c r="C67">
        <v>3</v>
      </c>
      <c r="D67">
        <v>2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</row>
    <row r="68" spans="1:14">
      <c r="A68" cm="1">
        <f t="array" ref="A68:N68">IF(Table1_25[[#This Row],[price]]='outliar droping(1)'!P68,Table1_25[#This Row],"")</f>
        <v>6850000</v>
      </c>
      <c r="B68">
        <v>6250</v>
      </c>
      <c r="C68">
        <v>4</v>
      </c>
      <c r="D68">
        <v>3</v>
      </c>
      <c r="E68">
        <v>2</v>
      </c>
      <c r="F68">
        <v>1</v>
      </c>
      <c r="G68">
        <v>1</v>
      </c>
      <c r="H68">
        <v>0</v>
      </c>
      <c r="I68">
        <v>0</v>
      </c>
      <c r="J68">
        <v>1</v>
      </c>
      <c r="K68">
        <v>2</v>
      </c>
      <c r="L68">
        <v>1</v>
      </c>
      <c r="M68">
        <v>1</v>
      </c>
      <c r="N68">
        <v>0</v>
      </c>
    </row>
    <row r="69" spans="1:14">
      <c r="A69" cm="1">
        <f t="array" ref="A69:N69">IF(Table1_25[[#This Row],[price]]='outliar droping(1)'!P69,Table1_25[#This Row],"")</f>
        <v>5550000</v>
      </c>
      <c r="B69">
        <v>5250</v>
      </c>
      <c r="C69">
        <v>3</v>
      </c>
      <c r="D69">
        <v>2</v>
      </c>
      <c r="E69">
        <v>2</v>
      </c>
      <c r="F69">
        <v>1</v>
      </c>
      <c r="G69">
        <v>0</v>
      </c>
      <c r="H69">
        <v>1</v>
      </c>
      <c r="I69">
        <v>0</v>
      </c>
      <c r="J69">
        <v>1</v>
      </c>
      <c r="K69">
        <v>2</v>
      </c>
      <c r="L69">
        <v>0</v>
      </c>
      <c r="M69">
        <v>0</v>
      </c>
      <c r="N69">
        <v>1</v>
      </c>
    </row>
    <row r="70" spans="1:14">
      <c r="A70" cm="1">
        <f t="array" ref="A70:N70">IF(Table1_25[[#This Row],[price]]='outliar droping(1)'!P70,Table1_25[#This Row],"")</f>
        <v>3450000</v>
      </c>
      <c r="B70">
        <v>2950</v>
      </c>
      <c r="C70">
        <v>2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</row>
    <row r="71" spans="1:14">
      <c r="A71" cm="1">
        <f t="array" ref="A71:N71">IF(Table1_25[[#This Row],[price]]='outliar droping(1)'!P71,Table1_25[#This Row],"")</f>
        <v>8250000</v>
      </c>
      <c r="B71">
        <v>7600</v>
      </c>
      <c r="C71">
        <v>5</v>
      </c>
      <c r="D71">
        <v>4</v>
      </c>
      <c r="E71">
        <v>3</v>
      </c>
      <c r="F71">
        <v>1</v>
      </c>
      <c r="G71">
        <v>1</v>
      </c>
      <c r="H71">
        <v>1</v>
      </c>
      <c r="I71">
        <v>0</v>
      </c>
      <c r="J71">
        <v>1</v>
      </c>
      <c r="K71">
        <v>3</v>
      </c>
      <c r="L71">
        <v>1</v>
      </c>
      <c r="M71">
        <v>1</v>
      </c>
      <c r="N71">
        <v>0</v>
      </c>
    </row>
    <row r="72" spans="1:14">
      <c r="A72" t="str" cm="1">
        <f t="array" ref="A72">IF(Table1_25[[#This Row],[price]]='outliar droping(1)'!P72,Table1_25[#This Row],"")</f>
        <v/>
      </c>
    </row>
    <row r="73" spans="1:14">
      <c r="A73" t="str" cm="1">
        <f t="array" ref="A73">IF(Table1_25[[#This Row],[price]]='outliar droping(1)'!P73,Table1_25[#This Row],"")</f>
        <v/>
      </c>
    </row>
    <row r="74" spans="1:14">
      <c r="A74" t="str" cm="1">
        <f t="array" ref="A74">IF(Table1_25[[#This Row],[price]]='outliar droping(1)'!P74,Table1_25[#This Row],"")</f>
        <v/>
      </c>
    </row>
    <row r="75" spans="1:14">
      <c r="A75" t="str" cm="1">
        <f t="array" ref="A75">IF(Table1_25[[#This Row],[price]]='outliar droping(1)'!P75,Table1_25[#This Row],"")</f>
        <v/>
      </c>
    </row>
    <row r="76" spans="1:14">
      <c r="A76" t="str" cm="1">
        <f t="array" ref="A76">IF(Table1_25[[#This Row],[price]]='outliar droping(1)'!P76,Table1_25[#This Row],"")</f>
        <v/>
      </c>
    </row>
    <row r="77" spans="1:14">
      <c r="A77" cm="1">
        <f t="array" ref="A77:N77">IF(Table1_25[[#This Row],[price]]='outliar droping(1)'!P77,Table1_25[#This Row],"")</f>
        <v>4700000</v>
      </c>
      <c r="B77">
        <v>4250</v>
      </c>
      <c r="C77">
        <v>3</v>
      </c>
      <c r="D77">
        <v>2</v>
      </c>
      <c r="E77">
        <v>2</v>
      </c>
      <c r="F77">
        <v>1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0</v>
      </c>
      <c r="N77">
        <v>1</v>
      </c>
    </row>
    <row r="78" spans="1:14">
      <c r="A78" cm="1">
        <f t="array" ref="A78:N78">IF(Table1_25[[#This Row],[price]]='outliar droping(1)'!P78,Table1_25[#This Row],"")</f>
        <v>6050000</v>
      </c>
      <c r="B78">
        <v>5750</v>
      </c>
      <c r="C78">
        <v>4</v>
      </c>
      <c r="D78">
        <v>3</v>
      </c>
      <c r="E78">
        <v>2</v>
      </c>
      <c r="F78">
        <v>1</v>
      </c>
      <c r="G78">
        <v>1</v>
      </c>
      <c r="H78">
        <v>0</v>
      </c>
      <c r="I78">
        <v>0</v>
      </c>
      <c r="J78">
        <v>1</v>
      </c>
      <c r="K78">
        <v>2</v>
      </c>
      <c r="L78">
        <v>1</v>
      </c>
      <c r="M78">
        <v>1</v>
      </c>
      <c r="N78">
        <v>0</v>
      </c>
    </row>
    <row r="79" spans="1:14">
      <c r="A79" cm="1">
        <f t="array" ref="A79:N79">IF(Table1_25[[#This Row],[price]]='outliar droping(1)'!P79,Table1_25[#This Row],"")</f>
        <v>5100000</v>
      </c>
      <c r="B79">
        <v>4850</v>
      </c>
      <c r="C79">
        <v>3</v>
      </c>
      <c r="D79">
        <v>2</v>
      </c>
      <c r="E79">
        <v>2</v>
      </c>
      <c r="F79">
        <v>1</v>
      </c>
      <c r="G79">
        <v>0</v>
      </c>
      <c r="H79">
        <v>1</v>
      </c>
      <c r="I79">
        <v>0</v>
      </c>
      <c r="J79">
        <v>1</v>
      </c>
      <c r="K79">
        <v>2</v>
      </c>
      <c r="L79">
        <v>0</v>
      </c>
      <c r="M79">
        <v>0</v>
      </c>
      <c r="N79">
        <v>1</v>
      </c>
    </row>
    <row r="80" spans="1:14">
      <c r="A80" cm="1">
        <f t="array" ref="A80:N80">IF(Table1_25[[#This Row],[price]]='outliar droping(1)'!P80,Table1_25[#This Row],"")</f>
        <v>3950000</v>
      </c>
      <c r="B80">
        <v>3350</v>
      </c>
      <c r="C80">
        <v>2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</row>
    <row r="81" spans="1:14">
      <c r="A81" cm="1">
        <f t="array" ref="A81:N81">IF(Table1_25[[#This Row],[price]]='outliar droping(1)'!P81,Table1_25[#This Row],"")</f>
        <v>7600000</v>
      </c>
      <c r="B81">
        <v>6950</v>
      </c>
      <c r="C81">
        <v>5</v>
      </c>
      <c r="D81">
        <v>3</v>
      </c>
      <c r="E81">
        <v>3</v>
      </c>
      <c r="F81">
        <v>1</v>
      </c>
      <c r="G81">
        <v>1</v>
      </c>
      <c r="H81">
        <v>1</v>
      </c>
      <c r="I81">
        <v>0</v>
      </c>
      <c r="J81">
        <v>1</v>
      </c>
      <c r="K81">
        <v>3</v>
      </c>
      <c r="L81">
        <v>1</v>
      </c>
      <c r="M81">
        <v>1</v>
      </c>
      <c r="N81">
        <v>0</v>
      </c>
    </row>
    <row r="82" spans="1:14">
      <c r="A82" cm="1">
        <f t="array" ref="A82:N82">IF(Table1_25[[#This Row],[price]]='outliar droping(1)'!P82,Table1_25[#This Row],"")</f>
        <v>4800000</v>
      </c>
      <c r="B82">
        <v>4450</v>
      </c>
      <c r="C82">
        <v>3</v>
      </c>
      <c r="D82">
        <v>2</v>
      </c>
      <c r="E82">
        <v>2</v>
      </c>
      <c r="F82">
        <v>1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0</v>
      </c>
      <c r="N82">
        <v>1</v>
      </c>
    </row>
    <row r="83" spans="1:14">
      <c r="A83" cm="1">
        <f t="array" ref="A83:N83">IF(Table1_25[[#This Row],[price]]='outliar droping(1)'!P83,Table1_25[#This Row],"")</f>
        <v>5700000</v>
      </c>
      <c r="B83">
        <v>5350</v>
      </c>
      <c r="C83">
        <v>4</v>
      </c>
      <c r="D83">
        <v>2</v>
      </c>
      <c r="E83">
        <v>2</v>
      </c>
      <c r="F83">
        <v>1</v>
      </c>
      <c r="G83">
        <v>1</v>
      </c>
      <c r="H83">
        <v>0</v>
      </c>
      <c r="I83">
        <v>0</v>
      </c>
      <c r="J83">
        <v>1</v>
      </c>
      <c r="K83">
        <v>2</v>
      </c>
      <c r="L83">
        <v>1</v>
      </c>
      <c r="M83">
        <v>1</v>
      </c>
      <c r="N83">
        <v>0</v>
      </c>
    </row>
    <row r="84" spans="1:14">
      <c r="A84" cm="1">
        <f t="array" ref="A84:N84">IF(Table1_25[[#This Row],[price]]='outliar droping(1)'!P84,Table1_25[#This Row],"")</f>
        <v>3600000</v>
      </c>
      <c r="B84">
        <v>3100</v>
      </c>
      <c r="C84">
        <v>2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</row>
    <row r="85" spans="1:14">
      <c r="A85" cm="1">
        <f t="array" ref="A85:N85">IF(Table1_25[[#This Row],[price]]='outliar droping(1)'!P85,Table1_25[#This Row],"")</f>
        <v>6900000</v>
      </c>
      <c r="B85">
        <v>6300</v>
      </c>
      <c r="C85">
        <v>4</v>
      </c>
      <c r="D85">
        <v>3</v>
      </c>
      <c r="E85">
        <v>3</v>
      </c>
      <c r="F85">
        <v>1</v>
      </c>
      <c r="G85">
        <v>1</v>
      </c>
      <c r="H85">
        <v>1</v>
      </c>
      <c r="I85">
        <v>0</v>
      </c>
      <c r="J85">
        <v>1</v>
      </c>
      <c r="K85">
        <v>3</v>
      </c>
      <c r="L85">
        <v>1</v>
      </c>
      <c r="M85">
        <v>1</v>
      </c>
      <c r="N85">
        <v>0</v>
      </c>
    </row>
    <row r="86" spans="1:14">
      <c r="A86" cm="1">
        <f t="array" ref="A86:N86">IF(Table1_25[[#This Row],[price]]='outliar droping(1)'!P86,Table1_25[#This Row],"")</f>
        <v>5100000</v>
      </c>
      <c r="B86">
        <v>4750</v>
      </c>
      <c r="C86">
        <v>3</v>
      </c>
      <c r="D86">
        <v>2</v>
      </c>
      <c r="E86">
        <v>2</v>
      </c>
      <c r="F86">
        <v>1</v>
      </c>
      <c r="G86">
        <v>0</v>
      </c>
      <c r="H86">
        <v>1</v>
      </c>
      <c r="I86">
        <v>0</v>
      </c>
      <c r="J86">
        <v>1</v>
      </c>
      <c r="K86">
        <v>2</v>
      </c>
      <c r="L86">
        <v>0</v>
      </c>
      <c r="M86">
        <v>0</v>
      </c>
      <c r="N86">
        <v>1</v>
      </c>
    </row>
    <row r="87" spans="1:14">
      <c r="A87" cm="1">
        <f t="array" ref="A87:N87">IF(Table1_25[[#This Row],[price]]='outliar droping(1)'!P87,Table1_25[#This Row],"")</f>
        <v>7400000</v>
      </c>
      <c r="B87">
        <v>6750</v>
      </c>
      <c r="C87">
        <v>5</v>
      </c>
      <c r="D87">
        <v>3</v>
      </c>
      <c r="E87">
        <v>3</v>
      </c>
      <c r="F87">
        <v>1</v>
      </c>
      <c r="G87">
        <v>1</v>
      </c>
      <c r="H87">
        <v>0</v>
      </c>
      <c r="I87">
        <v>0</v>
      </c>
      <c r="J87">
        <v>1</v>
      </c>
      <c r="K87">
        <v>3</v>
      </c>
      <c r="L87">
        <v>1</v>
      </c>
      <c r="M87">
        <v>1</v>
      </c>
      <c r="N87">
        <v>0</v>
      </c>
    </row>
    <row r="88" spans="1:14">
      <c r="A88" cm="1">
        <f t="array" ref="A88:N88">IF(Table1_25[[#This Row],[price]]='outliar droping(1)'!P88,Table1_25[#This Row],"")</f>
        <v>4300000</v>
      </c>
      <c r="B88">
        <v>3950</v>
      </c>
      <c r="C88">
        <v>3</v>
      </c>
      <c r="D88">
        <v>2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</row>
    <row r="89" spans="1:14">
      <c r="A89" cm="1">
        <f t="array" ref="A89:N89">IF(Table1_25[[#This Row],[price]]='outliar droping(1)'!P89,Table1_25[#This Row],"")</f>
        <v>3850000</v>
      </c>
      <c r="B89">
        <v>3400</v>
      </c>
      <c r="C89">
        <v>2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</row>
    <row r="90" spans="1:14">
      <c r="A90" cm="1">
        <f t="array" ref="A90:N90">IF(Table1_25[[#This Row],[price]]='outliar droping(1)'!P90,Table1_25[#This Row],"")</f>
        <v>7900000</v>
      </c>
      <c r="B90">
        <v>7300</v>
      </c>
      <c r="C90">
        <v>5</v>
      </c>
      <c r="D90">
        <v>4</v>
      </c>
      <c r="E90">
        <v>3</v>
      </c>
      <c r="F90">
        <v>1</v>
      </c>
      <c r="G90">
        <v>1</v>
      </c>
      <c r="H90">
        <v>1</v>
      </c>
      <c r="I90">
        <v>0</v>
      </c>
      <c r="J90">
        <v>1</v>
      </c>
      <c r="K90">
        <v>3</v>
      </c>
      <c r="L90">
        <v>1</v>
      </c>
      <c r="M90">
        <v>1</v>
      </c>
      <c r="N90">
        <v>0</v>
      </c>
    </row>
    <row r="91" spans="1:14">
      <c r="A91" cm="1">
        <f t="array" ref="A91:N91">IF(Table1_25[[#This Row],[price]]='outliar droping(1)'!P91,Table1_25[#This Row],"")</f>
        <v>5300000</v>
      </c>
      <c r="B91">
        <v>4900</v>
      </c>
      <c r="C91">
        <v>3</v>
      </c>
      <c r="D91">
        <v>2</v>
      </c>
      <c r="E91">
        <v>2</v>
      </c>
      <c r="F91">
        <v>1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0</v>
      </c>
      <c r="N91">
        <v>1</v>
      </c>
    </row>
    <row r="92" spans="1:14">
      <c r="A92" cm="1">
        <f t="array" ref="A92:N92">IF(Table1_25[[#This Row],[price]]='outliar droping(1)'!P92,Table1_25[#This Row],"")</f>
        <v>4550000</v>
      </c>
      <c r="B92">
        <v>4200</v>
      </c>
      <c r="C92">
        <v>3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1</v>
      </c>
    </row>
    <row r="93" spans="1:14">
      <c r="A93" cm="1">
        <f t="array" ref="A93:N93">IF(Table1_25[[#This Row],[price]]='outliar droping(1)'!P93,Table1_25[#This Row],"")</f>
        <v>6200000</v>
      </c>
      <c r="B93">
        <v>5850</v>
      </c>
      <c r="C93">
        <v>4</v>
      </c>
      <c r="D93">
        <v>3</v>
      </c>
      <c r="E93">
        <v>2</v>
      </c>
      <c r="F93">
        <v>1</v>
      </c>
      <c r="G93">
        <v>1</v>
      </c>
      <c r="H93">
        <v>0</v>
      </c>
      <c r="I93">
        <v>0</v>
      </c>
      <c r="J93">
        <v>1</v>
      </c>
      <c r="K93">
        <v>2</v>
      </c>
      <c r="L93">
        <v>1</v>
      </c>
      <c r="M93">
        <v>1</v>
      </c>
      <c r="N93">
        <v>0</v>
      </c>
    </row>
    <row r="94" spans="1:14">
      <c r="A94" cm="1">
        <f t="array" ref="A94:N94">IF(Table1_25[[#This Row],[price]]='outliar droping(1)'!P94,Table1_25[#This Row],"")</f>
        <v>5500000</v>
      </c>
      <c r="B94">
        <v>5150</v>
      </c>
      <c r="C94">
        <v>3</v>
      </c>
      <c r="D94">
        <v>2</v>
      </c>
      <c r="E94">
        <v>2</v>
      </c>
      <c r="F94">
        <v>1</v>
      </c>
      <c r="G94">
        <v>0</v>
      </c>
      <c r="H94">
        <v>1</v>
      </c>
      <c r="I94">
        <v>0</v>
      </c>
      <c r="J94">
        <v>1</v>
      </c>
      <c r="K94">
        <v>2</v>
      </c>
      <c r="L94">
        <v>0</v>
      </c>
      <c r="M94">
        <v>0</v>
      </c>
      <c r="N94">
        <v>1</v>
      </c>
    </row>
    <row r="95" spans="1:14">
      <c r="A95" cm="1">
        <f t="array" ref="A95:N95">IF(Table1_25[[#This Row],[price]]='outliar droping(1)'!P95,Table1_25[#This Row],"")</f>
        <v>4700000</v>
      </c>
      <c r="B95">
        <v>4350</v>
      </c>
      <c r="C95">
        <v>3</v>
      </c>
      <c r="D95">
        <v>2</v>
      </c>
      <c r="E95">
        <v>2</v>
      </c>
      <c r="F95">
        <v>1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1</v>
      </c>
    </row>
    <row r="96" spans="1:14">
      <c r="A96" cm="1">
        <f t="array" ref="A96:N96">IF(Table1_25[[#This Row],[price]]='outliar droping(1)'!P96,Table1_25[#This Row],"")</f>
        <v>7150000</v>
      </c>
      <c r="B96">
        <v>6500</v>
      </c>
      <c r="C96">
        <v>5</v>
      </c>
      <c r="D96">
        <v>3</v>
      </c>
      <c r="E96">
        <v>3</v>
      </c>
      <c r="F96">
        <v>1</v>
      </c>
      <c r="G96">
        <v>1</v>
      </c>
      <c r="H96">
        <v>1</v>
      </c>
      <c r="I96">
        <v>0</v>
      </c>
      <c r="J96">
        <v>1</v>
      </c>
      <c r="K96">
        <v>3</v>
      </c>
      <c r="L96">
        <v>1</v>
      </c>
      <c r="M96">
        <v>1</v>
      </c>
      <c r="N96">
        <v>0</v>
      </c>
    </row>
    <row r="97" spans="1:14">
      <c r="A97" cm="1">
        <f t="array" ref="A97:N97">IF(Table1_25[[#This Row],[price]]='outliar droping(1)'!P97,Table1_25[#This Row],"")</f>
        <v>4050000</v>
      </c>
      <c r="B97">
        <v>3700</v>
      </c>
      <c r="C97">
        <v>3</v>
      </c>
      <c r="D97">
        <v>2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</row>
    <row r="98" spans="1:14">
      <c r="A98" cm="1">
        <f t="array" ref="A98:N98">IF(Table1_25[[#This Row],[price]]='outliar droping(1)'!P98,Table1_25[#This Row],"")</f>
        <v>6650000</v>
      </c>
      <c r="B98">
        <v>6150</v>
      </c>
      <c r="C98">
        <v>4</v>
      </c>
      <c r="D98">
        <v>3</v>
      </c>
      <c r="E98">
        <v>2</v>
      </c>
      <c r="F98">
        <v>1</v>
      </c>
      <c r="G98">
        <v>1</v>
      </c>
      <c r="H98">
        <v>0</v>
      </c>
      <c r="I98">
        <v>0</v>
      </c>
      <c r="J98">
        <v>1</v>
      </c>
      <c r="K98">
        <v>2</v>
      </c>
      <c r="L98">
        <v>1</v>
      </c>
      <c r="M98">
        <v>1</v>
      </c>
      <c r="N98">
        <v>0</v>
      </c>
    </row>
    <row r="99" spans="1:14">
      <c r="A99" cm="1">
        <f t="array" ref="A99:N99">IF(Table1_25[[#This Row],[price]]='outliar droping(1)'!P99,Table1_25[#This Row],"")</f>
        <v>5850000</v>
      </c>
      <c r="B99">
        <v>5450</v>
      </c>
      <c r="C99">
        <v>4</v>
      </c>
      <c r="D99">
        <v>2</v>
      </c>
      <c r="E99">
        <v>2</v>
      </c>
      <c r="F99">
        <v>1</v>
      </c>
      <c r="G99">
        <v>0</v>
      </c>
      <c r="H99">
        <v>1</v>
      </c>
      <c r="I99">
        <v>0</v>
      </c>
      <c r="J99">
        <v>1</v>
      </c>
      <c r="K99">
        <v>2</v>
      </c>
      <c r="L99">
        <v>0</v>
      </c>
      <c r="M99">
        <v>0</v>
      </c>
      <c r="N99">
        <v>1</v>
      </c>
    </row>
    <row r="100" spans="1:14">
      <c r="A100" cm="1">
        <f t="array" ref="A100:N100">IF(Table1_25[[#This Row],[price]]='outliar droping(1)'!P100,Table1_25[#This Row],"")</f>
        <v>3500000</v>
      </c>
      <c r="B100">
        <v>3000</v>
      </c>
      <c r="C100">
        <v>2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cm="1">
        <f t="array" ref="A101:N101">IF(Table1_25[[#This Row],[price]]='outliar droping(1)'!P101,Table1_25[#This Row],"")</f>
        <v>8450000</v>
      </c>
      <c r="B101">
        <v>7800</v>
      </c>
      <c r="C101">
        <v>5</v>
      </c>
      <c r="D101">
        <v>4</v>
      </c>
      <c r="E101">
        <v>3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3</v>
      </c>
      <c r="L101">
        <v>1</v>
      </c>
      <c r="M101">
        <v>1</v>
      </c>
      <c r="N101">
        <v>0</v>
      </c>
    </row>
    <row r="102" spans="1:14">
      <c r="A102" t="str" cm="1">
        <f t="array" ref="A102">IF(Table1_25[[#This Row],[price]]='outliar droping(1)'!P102,Table1_25[#This Row],"")</f>
        <v/>
      </c>
    </row>
    <row r="103" spans="1:14">
      <c r="A103" t="str" cm="1">
        <f t="array" ref="A103">IF(Table1_25[[#This Row],[price]]='outliar droping(1)'!P103,Table1_25[#This Row],"")</f>
        <v/>
      </c>
    </row>
    <row r="104" spans="1:14">
      <c r="A104" t="str" cm="1">
        <f t="array" ref="A104">IF(Table1_25[[#This Row],[price]]='outliar droping(1)'!P104,Table1_25[#This Row],"")</f>
        <v/>
      </c>
    </row>
    <row r="105" spans="1:14">
      <c r="A105" t="str" cm="1">
        <f t="array" ref="A105">IF(Table1_25[[#This Row],[price]]='outliar droping(1)'!P105,Table1_25[#This Row],"")</f>
        <v/>
      </c>
    </row>
    <row r="106" spans="1:14">
      <c r="A106" t="str" cm="1">
        <f t="array" ref="A106">IF(Table1_25[[#This Row],[price]]='outliar droping(1)'!P106,Table1_25[#This Row],"")</f>
        <v/>
      </c>
    </row>
    <row r="107" spans="1:14">
      <c r="A107" cm="1">
        <f t="array" ref="A107:N107">IF(Table1_25[[#This Row],[price]]='outliar droping(1)'!P107,Table1_25[#This Row],"")</f>
        <v>4950000</v>
      </c>
      <c r="B107">
        <v>4550</v>
      </c>
      <c r="C107">
        <v>3</v>
      </c>
      <c r="D107">
        <v>2</v>
      </c>
      <c r="E107">
        <v>2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0</v>
      </c>
      <c r="M107">
        <v>0</v>
      </c>
      <c r="N107">
        <v>1</v>
      </c>
    </row>
    <row r="108" spans="1:14">
      <c r="A108" cm="1">
        <f t="array" ref="A108:N108">IF(Table1_25[[#This Row],[price]]='outliar droping(1)'!P108,Table1_25[#This Row],"")</f>
        <v>6400000</v>
      </c>
      <c r="B108">
        <v>6000</v>
      </c>
      <c r="C108">
        <v>4</v>
      </c>
      <c r="D108">
        <v>3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2</v>
      </c>
      <c r="L108">
        <v>1</v>
      </c>
      <c r="M108">
        <v>1</v>
      </c>
      <c r="N108">
        <v>0</v>
      </c>
    </row>
    <row r="109" spans="1:14">
      <c r="A109" cm="1">
        <f t="array" ref="A109:N109">IF(Table1_25[[#This Row],[price]]='outliar droping(1)'!P109,Table1_25[#This Row],"")</f>
        <v>5200000</v>
      </c>
      <c r="B109">
        <v>4850</v>
      </c>
      <c r="C109">
        <v>3</v>
      </c>
      <c r="D109">
        <v>2</v>
      </c>
      <c r="E109">
        <v>2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2</v>
      </c>
      <c r="L109">
        <v>0</v>
      </c>
      <c r="M109">
        <v>0</v>
      </c>
      <c r="N109">
        <v>1</v>
      </c>
    </row>
    <row r="110" spans="1:14">
      <c r="A110" cm="1">
        <f t="array" ref="A110:N110">IF(Table1_25[[#This Row],[price]]='outliar droping(1)'!P110,Table1_25[#This Row],"")</f>
        <v>4100000</v>
      </c>
      <c r="B110">
        <v>3550</v>
      </c>
      <c r="C110">
        <v>2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cm="1">
        <f t="array" ref="A111:N111">IF(Table1_25[[#This Row],[price]]='outliar droping(1)'!P111,Table1_25[#This Row],"")</f>
        <v>7700000</v>
      </c>
      <c r="B111">
        <v>7050</v>
      </c>
      <c r="C111">
        <v>5</v>
      </c>
      <c r="D111">
        <v>3</v>
      </c>
      <c r="E111">
        <v>3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3</v>
      </c>
      <c r="L111">
        <v>1</v>
      </c>
      <c r="M111">
        <v>1</v>
      </c>
      <c r="N111">
        <v>0</v>
      </c>
    </row>
    <row r="112" spans="1:14">
      <c r="A112" cm="1">
        <f t="array" ref="A112:N112">IF(Table1_25[[#This Row],[price]]='outliar droping(1)'!P112,Table1_25[#This Row],"")</f>
        <v>5050000</v>
      </c>
      <c r="B112">
        <v>4650</v>
      </c>
      <c r="C112">
        <v>3</v>
      </c>
      <c r="D112">
        <v>2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0</v>
      </c>
      <c r="N112">
        <v>1</v>
      </c>
    </row>
    <row r="113" spans="1:14">
      <c r="A113" cm="1">
        <f t="array" ref="A113:N113">IF(Table1_25[[#This Row],[price]]='outliar droping(1)'!P113,Table1_25[#This Row],"")</f>
        <v>5950000</v>
      </c>
      <c r="B113">
        <v>5550</v>
      </c>
      <c r="C113">
        <v>4</v>
      </c>
      <c r="D113">
        <v>3</v>
      </c>
      <c r="E113">
        <v>2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2</v>
      </c>
      <c r="L113">
        <v>1</v>
      </c>
      <c r="M113">
        <v>1</v>
      </c>
      <c r="N113">
        <v>0</v>
      </c>
    </row>
    <row r="114" spans="1:14">
      <c r="A114" cm="1">
        <f t="array" ref="A114:N114">IF(Table1_25[[#This Row],[price]]='outliar droping(1)'!P114,Table1_25[#This Row],"")</f>
        <v>3750000</v>
      </c>
      <c r="B114">
        <v>3300</v>
      </c>
      <c r="C114">
        <v>2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 cm="1">
        <f t="array" ref="A115:N115">IF(Table1_25[[#This Row],[price]]='outliar droping(1)'!P115,Table1_25[#This Row],"")</f>
        <v>7150000</v>
      </c>
      <c r="B115">
        <v>6500</v>
      </c>
      <c r="C115">
        <v>5</v>
      </c>
      <c r="D115">
        <v>3</v>
      </c>
      <c r="E115">
        <v>3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3</v>
      </c>
      <c r="L115">
        <v>1</v>
      </c>
      <c r="M115">
        <v>1</v>
      </c>
      <c r="N115">
        <v>0</v>
      </c>
    </row>
    <row r="116" spans="1:14">
      <c r="A116" cm="1">
        <f t="array" ref="A116:N116">IF(Table1_25[[#This Row],[price]]='outliar droping(1)'!P116,Table1_25[#This Row],"")</f>
        <v>4850000</v>
      </c>
      <c r="B116">
        <v>4450</v>
      </c>
      <c r="C116">
        <v>3</v>
      </c>
      <c r="D116">
        <v>2</v>
      </c>
      <c r="E116">
        <v>2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1</v>
      </c>
    </row>
    <row r="117" spans="1:14">
      <c r="A117" cm="1">
        <f t="array" ref="A117:N117">IF(Table1_25[[#This Row],[price]]='outliar droping(1)'!P117,Table1_25[#This Row],"")</f>
        <v>6650000</v>
      </c>
      <c r="B117">
        <v>6150</v>
      </c>
      <c r="C117">
        <v>4</v>
      </c>
      <c r="D117">
        <v>3</v>
      </c>
      <c r="E117">
        <v>2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2</v>
      </c>
      <c r="L117">
        <v>1</v>
      </c>
      <c r="M117">
        <v>1</v>
      </c>
      <c r="N117">
        <v>0</v>
      </c>
    </row>
    <row r="118" spans="1:14">
      <c r="A118" cm="1">
        <f t="array" ref="A118:N118">IF(Table1_25[[#This Row],[price]]='outliar droping(1)'!P118,Table1_25[#This Row],"")</f>
        <v>4550000</v>
      </c>
      <c r="B118">
        <v>4250</v>
      </c>
      <c r="C118">
        <v>3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</row>
    <row r="119" spans="1:14">
      <c r="A119" cm="1">
        <f t="array" ref="A119:N119">IF(Table1_25[[#This Row],[price]]='outliar droping(1)'!P119,Table1_25[#This Row],"")</f>
        <v>3500000</v>
      </c>
      <c r="B119">
        <v>2950</v>
      </c>
      <c r="C119">
        <v>2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</row>
    <row r="120" spans="1:14">
      <c r="A120" cm="1">
        <f t="array" ref="A120:N120">IF(Table1_25[[#This Row],[price]]='outliar droping(1)'!P120,Table1_25[#This Row],"")</f>
        <v>8350000</v>
      </c>
      <c r="B120">
        <v>7600</v>
      </c>
      <c r="C120">
        <v>5</v>
      </c>
      <c r="D120">
        <v>4</v>
      </c>
      <c r="E120">
        <v>3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3</v>
      </c>
      <c r="L120">
        <v>1</v>
      </c>
      <c r="M120">
        <v>1</v>
      </c>
      <c r="N120">
        <v>0</v>
      </c>
    </row>
    <row r="121" spans="1:14">
      <c r="A121" cm="1">
        <f t="array" ref="A121:N121">IF(Table1_25[[#This Row],[price]]='outliar droping(1)'!P121,Table1_25[#This Row],"")</f>
        <v>5400000</v>
      </c>
      <c r="B121">
        <v>5050</v>
      </c>
      <c r="C121">
        <v>3</v>
      </c>
      <c r="D121">
        <v>2</v>
      </c>
      <c r="E121">
        <v>2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0</v>
      </c>
      <c r="N121">
        <v>1</v>
      </c>
    </row>
    <row r="122" spans="1:14">
      <c r="A122" cm="1">
        <f t="array" ref="A122:N122">IF(Table1_25[[#This Row],[price]]='outliar droping(1)'!P122,Table1_25[#This Row],"")</f>
        <v>4250000</v>
      </c>
      <c r="B122">
        <v>3900</v>
      </c>
      <c r="C122">
        <v>3</v>
      </c>
      <c r="D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 cm="1">
        <f t="array" ref="A123:N123">IF(Table1_25[[#This Row],[price]]='outliar droping(1)'!P123,Table1_25[#This Row],"")</f>
        <v>6450000</v>
      </c>
      <c r="B123">
        <v>5950</v>
      </c>
      <c r="C123">
        <v>4</v>
      </c>
      <c r="D123">
        <v>3</v>
      </c>
      <c r="E123">
        <v>2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2</v>
      </c>
      <c r="L123">
        <v>1</v>
      </c>
      <c r="M123">
        <v>1</v>
      </c>
      <c r="N123">
        <v>0</v>
      </c>
    </row>
    <row r="124" spans="1:14">
      <c r="A124" cm="1">
        <f t="array" ref="A124:N124">IF(Table1_25[[#This Row],[price]]='outliar droping(1)'!P124,Table1_25[#This Row],"")</f>
        <v>5600000</v>
      </c>
      <c r="B124">
        <v>5250</v>
      </c>
      <c r="C124">
        <v>4</v>
      </c>
      <c r="D124">
        <v>2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2</v>
      </c>
      <c r="L124">
        <v>0</v>
      </c>
      <c r="M124">
        <v>0</v>
      </c>
      <c r="N124">
        <v>1</v>
      </c>
    </row>
    <row r="125" spans="1:14">
      <c r="A125" cm="1">
        <f t="array" ref="A125:N125">IF(Table1_25[[#This Row],[price]]='outliar droping(1)'!P125,Table1_25[#This Row],"")</f>
        <v>4750000</v>
      </c>
      <c r="B125">
        <v>4400</v>
      </c>
      <c r="C125">
        <v>3</v>
      </c>
      <c r="D125">
        <v>2</v>
      </c>
      <c r="E125">
        <v>2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1</v>
      </c>
    </row>
    <row r="126" spans="1:14">
      <c r="A126" cm="1">
        <f t="array" ref="A126:N126">IF(Table1_25[[#This Row],[price]]='outliar droping(1)'!P126,Table1_25[#This Row],"")</f>
        <v>7450000</v>
      </c>
      <c r="B126">
        <v>6800</v>
      </c>
      <c r="C126">
        <v>5</v>
      </c>
      <c r="D126">
        <v>3</v>
      </c>
      <c r="E126">
        <v>3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3</v>
      </c>
      <c r="L126">
        <v>1</v>
      </c>
      <c r="M126">
        <v>1</v>
      </c>
      <c r="N126">
        <v>0</v>
      </c>
    </row>
    <row r="127" spans="1:14">
      <c r="A127" cm="1">
        <f t="array" ref="A127:N127">IF(Table1_25[[#This Row],[price]]='outliar droping(1)'!P127,Table1_25[#This Row],"")</f>
        <v>4050000</v>
      </c>
      <c r="B127">
        <v>3650</v>
      </c>
      <c r="C127">
        <v>3</v>
      </c>
      <c r="D127">
        <v>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</row>
    <row r="128" spans="1:14">
      <c r="A128" cm="1">
        <f t="array" ref="A128:N128">IF(Table1_25[[#This Row],[price]]='outliar droping(1)'!P128,Table1_25[#This Row],"")</f>
        <v>6850000</v>
      </c>
      <c r="B128">
        <v>6250</v>
      </c>
      <c r="C128">
        <v>4</v>
      </c>
      <c r="D128">
        <v>3</v>
      </c>
      <c r="E128">
        <v>2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2</v>
      </c>
      <c r="L128">
        <v>1</v>
      </c>
      <c r="M128">
        <v>1</v>
      </c>
      <c r="N128">
        <v>0</v>
      </c>
    </row>
    <row r="129" spans="1:14">
      <c r="A129" cm="1">
        <f t="array" ref="A129:N129">IF(Table1_25[[#This Row],[price]]='outliar droping(1)'!P129,Table1_25[#This Row],"")</f>
        <v>5750000</v>
      </c>
      <c r="B129">
        <v>5400</v>
      </c>
      <c r="C129">
        <v>4</v>
      </c>
      <c r="D129">
        <v>2</v>
      </c>
      <c r="E129">
        <v>2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2</v>
      </c>
      <c r="L129">
        <v>0</v>
      </c>
      <c r="M129">
        <v>0</v>
      </c>
      <c r="N129">
        <v>1</v>
      </c>
    </row>
    <row r="130" spans="1:14">
      <c r="A130" cm="1">
        <f t="array" ref="A130:N130">IF(Table1_25[[#This Row],[price]]='outliar droping(1)'!P130,Table1_25[#This Row],"")</f>
        <v>3650000</v>
      </c>
      <c r="B130">
        <v>3150</v>
      </c>
      <c r="C130">
        <v>2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>
      <c r="A131" cm="1">
        <f t="array" ref="A131:N131">IF(Table1_25[[#This Row],[price]]='outliar droping(1)'!P131,Table1_25[#This Row],"")</f>
        <v>8600000</v>
      </c>
      <c r="B131">
        <v>7900</v>
      </c>
      <c r="C131">
        <v>5</v>
      </c>
      <c r="D131">
        <v>4</v>
      </c>
      <c r="E131">
        <v>3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3</v>
      </c>
      <c r="L131">
        <v>1</v>
      </c>
      <c r="M131">
        <v>1</v>
      </c>
      <c r="N131">
        <v>0</v>
      </c>
    </row>
    <row r="132" spans="1:14">
      <c r="A132" t="str" cm="1">
        <f t="array" ref="A132">IF(Table1_25[[#This Row],[price]]='outliar droping(1)'!P132,Table1_25[#This Row],"")</f>
        <v/>
      </c>
    </row>
    <row r="133" spans="1:14">
      <c r="A133" t="str" cm="1">
        <f t="array" ref="A133">IF(Table1_25[[#This Row],[price]]='outliar droping(1)'!P133,Table1_25[#This Row],"")</f>
        <v/>
      </c>
    </row>
    <row r="134" spans="1:14">
      <c r="A134" t="str" cm="1">
        <f t="array" ref="A134">IF(Table1_25[[#This Row],[price]]='outliar droping(1)'!P134,Table1_25[#This Row],"")</f>
        <v/>
      </c>
    </row>
    <row r="135" spans="1:14">
      <c r="A135" t="str" cm="1">
        <f t="array" ref="A135">IF(Table1_25[[#This Row],[price]]='outliar droping(1)'!P135,Table1_25[#This Row],"")</f>
        <v/>
      </c>
    </row>
    <row r="136" spans="1:14">
      <c r="A136" t="str" cm="1">
        <f t="array" ref="A136">IF(Table1_25[[#This Row],[price]]='outliar droping(1)'!P136,Table1_25[#This Row],"")</f>
        <v/>
      </c>
    </row>
    <row r="137" spans="1:14">
      <c r="A137" cm="1">
        <f t="array" ref="A137:N137">IF(Table1_25[[#This Row],[price]]='outliar droping(1)'!P137,Table1_25[#This Row],"")</f>
        <v>5150000</v>
      </c>
      <c r="B137">
        <v>4700</v>
      </c>
      <c r="C137">
        <v>3</v>
      </c>
      <c r="D137">
        <v>2</v>
      </c>
      <c r="E137">
        <v>2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0</v>
      </c>
      <c r="N137">
        <v>1</v>
      </c>
    </row>
    <row r="138" spans="1:14">
      <c r="A138" cm="1">
        <f t="array" ref="A138:N138">IF(Table1_25[[#This Row],[price]]='outliar droping(1)'!P138,Table1_25[#This Row],"")</f>
        <v>6050000</v>
      </c>
      <c r="B138">
        <v>5650</v>
      </c>
      <c r="C138">
        <v>4</v>
      </c>
      <c r="D138">
        <v>3</v>
      </c>
      <c r="E138">
        <v>2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2</v>
      </c>
      <c r="L138">
        <v>1</v>
      </c>
      <c r="M138">
        <v>1</v>
      </c>
      <c r="N138">
        <v>0</v>
      </c>
    </row>
    <row r="139" spans="1:14">
      <c r="A139" cm="1">
        <f t="array" ref="A139:N139">IF(Table1_25[[#This Row],[price]]='outliar droping(1)'!P139,Table1_25[#This Row],"")</f>
        <v>4450000</v>
      </c>
      <c r="B139">
        <v>4100</v>
      </c>
      <c r="C139">
        <v>3</v>
      </c>
      <c r="D139">
        <v>2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</row>
    <row r="140" spans="1:14">
      <c r="A140" cm="1">
        <f t="array" ref="A140:N140">IF(Table1_25[[#This Row],[price]]='outliar droping(1)'!P140,Table1_25[#This Row],"")</f>
        <v>7850000</v>
      </c>
      <c r="B140">
        <v>7150</v>
      </c>
      <c r="C140">
        <v>5</v>
      </c>
      <c r="D140">
        <v>3</v>
      </c>
      <c r="E140">
        <v>3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3</v>
      </c>
      <c r="L140">
        <v>1</v>
      </c>
      <c r="M140">
        <v>1</v>
      </c>
      <c r="N140">
        <v>0</v>
      </c>
    </row>
    <row r="141" spans="1:14">
      <c r="A141" cm="1">
        <f t="array" ref="A141:N141">IF(Table1_25[[#This Row],[price]]='outliar droping(1)'!P141,Table1_25[#This Row],"")</f>
        <v>5550000</v>
      </c>
      <c r="B141">
        <v>5150</v>
      </c>
      <c r="C141">
        <v>4</v>
      </c>
      <c r="D141">
        <v>2</v>
      </c>
      <c r="E141">
        <v>2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2</v>
      </c>
      <c r="L141">
        <v>0</v>
      </c>
      <c r="M141">
        <v>0</v>
      </c>
      <c r="N141">
        <v>1</v>
      </c>
    </row>
    <row r="142" spans="1:14">
      <c r="A142" cm="1">
        <f t="array" ref="A142:N142">IF(Table1_25[[#This Row],[price]]='outliar droping(1)'!P142,Table1_25[#This Row],"")</f>
        <v>4950000</v>
      </c>
      <c r="B142">
        <v>4550</v>
      </c>
      <c r="C142">
        <v>3</v>
      </c>
      <c r="D142">
        <v>2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0</v>
      </c>
      <c r="N142">
        <v>1</v>
      </c>
    </row>
    <row r="143" spans="1:14">
      <c r="A143" cm="1">
        <f t="array" ref="A143:N143">IF(Table1_25[[#This Row],[price]]='outliar droping(1)'!P143,Table1_25[#This Row],"")</f>
        <v>5750000</v>
      </c>
      <c r="B143">
        <v>5400</v>
      </c>
      <c r="C143">
        <v>4</v>
      </c>
      <c r="D143">
        <v>2</v>
      </c>
      <c r="E143">
        <v>2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1</v>
      </c>
      <c r="N143">
        <v>0</v>
      </c>
    </row>
    <row r="144" spans="1:14">
      <c r="A144" cm="1">
        <f t="array" ref="A144:N144">IF(Table1_25[[#This Row],[price]]='outliar droping(1)'!P144,Table1_25[#This Row],"")</f>
        <v>3650000</v>
      </c>
      <c r="B144">
        <v>3200</v>
      </c>
      <c r="C144">
        <v>2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</row>
    <row r="145" spans="1:14">
      <c r="A145" cm="1">
        <f t="array" ref="A145:N145">IF(Table1_25[[#This Row],[price]]='outliar droping(1)'!P145,Table1_25[#This Row],"")</f>
        <v>7050000</v>
      </c>
      <c r="B145">
        <v>6450</v>
      </c>
      <c r="C145">
        <v>5</v>
      </c>
      <c r="D145">
        <v>3</v>
      </c>
      <c r="E145">
        <v>3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3</v>
      </c>
      <c r="L145">
        <v>1</v>
      </c>
      <c r="M145">
        <v>1</v>
      </c>
      <c r="N145">
        <v>0</v>
      </c>
    </row>
    <row r="146" spans="1:14">
      <c r="A146" cm="1">
        <f t="array" ref="A146:N146">IF(Table1_25[[#This Row],[price]]='outliar droping(1)'!P146,Table1_25[#This Row],"")</f>
        <v>5150000</v>
      </c>
      <c r="B146">
        <v>4800</v>
      </c>
      <c r="C146">
        <v>3</v>
      </c>
      <c r="D146">
        <v>2</v>
      </c>
      <c r="E146">
        <v>2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2</v>
      </c>
      <c r="L146">
        <v>0</v>
      </c>
      <c r="M146">
        <v>0</v>
      </c>
      <c r="N146">
        <v>1</v>
      </c>
    </row>
    <row r="147" spans="1:14">
      <c r="A147" cm="1">
        <f t="array" ref="A147:N147">IF(Table1_25[[#This Row],[price]]='outliar droping(1)'!P147,Table1_25[#This Row],"")</f>
        <v>6550000</v>
      </c>
      <c r="B147">
        <v>6050</v>
      </c>
      <c r="C147">
        <v>4</v>
      </c>
      <c r="D147">
        <v>3</v>
      </c>
      <c r="E147">
        <v>2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2</v>
      </c>
      <c r="L147">
        <v>1</v>
      </c>
      <c r="M147">
        <v>1</v>
      </c>
      <c r="N147">
        <v>0</v>
      </c>
    </row>
    <row r="148" spans="1:14">
      <c r="A148" cm="1">
        <f t="array" ref="A148:N148">IF(Table1_25[[#This Row],[price]]='outliar droping(1)'!P148,Table1_25[#This Row],"")</f>
        <v>4450000</v>
      </c>
      <c r="B148">
        <v>4100</v>
      </c>
      <c r="C148">
        <v>3</v>
      </c>
      <c r="D148">
        <v>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0</v>
      </c>
    </row>
    <row r="149" spans="1:14">
      <c r="A149" cm="1">
        <f t="array" ref="A149:N149">IF(Table1_25[[#This Row],[price]]='outliar droping(1)'!P149,Table1_25[#This Row],"")</f>
        <v>3850000</v>
      </c>
      <c r="B149">
        <v>3450</v>
      </c>
      <c r="C149">
        <v>2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</row>
    <row r="150" spans="1:14">
      <c r="A150" cm="1">
        <f t="array" ref="A150:N150">IF(Table1_25[[#This Row],[price]]='outliar droping(1)'!P150,Table1_25[#This Row],"")</f>
        <v>8150000</v>
      </c>
      <c r="B150">
        <v>7450</v>
      </c>
      <c r="C150">
        <v>5</v>
      </c>
      <c r="D150">
        <v>4</v>
      </c>
      <c r="E150">
        <v>3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3</v>
      </c>
      <c r="L150">
        <v>1</v>
      </c>
      <c r="M150">
        <v>1</v>
      </c>
      <c r="N150">
        <v>0</v>
      </c>
    </row>
    <row r="151" spans="1:14">
      <c r="A151" cm="1">
        <f t="array" ref="A151:N151">IF(Table1_25[[#This Row],[price]]='outliar droping(1)'!P151,Table1_25[#This Row],"")</f>
        <v>5350000</v>
      </c>
      <c r="B151">
        <v>5000</v>
      </c>
      <c r="C151">
        <v>3</v>
      </c>
      <c r="D151">
        <v>2</v>
      </c>
      <c r="E151">
        <v>2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0</v>
      </c>
      <c r="M151">
        <v>0</v>
      </c>
      <c r="N151">
        <v>1</v>
      </c>
    </row>
    <row r="152" spans="1:14">
      <c r="A152" cm="1">
        <f t="array" ref="A152:N152">IF(Table1_25[[#This Row],[price]]='outliar droping(1)'!P152,Table1_25[#This Row],"")</f>
        <v>4250000</v>
      </c>
      <c r="B152">
        <v>3950</v>
      </c>
      <c r="C152">
        <v>3</v>
      </c>
      <c r="D152">
        <v>2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>
      <c r="A153" cm="1">
        <f t="array" ref="A153:N153">IF(Table1_25[[#This Row],[price]]='outliar droping(1)'!P153,Table1_25[#This Row],"")</f>
        <v>6250000</v>
      </c>
      <c r="B153">
        <v>5800</v>
      </c>
      <c r="C153">
        <v>4</v>
      </c>
      <c r="D153">
        <v>3</v>
      </c>
      <c r="E153">
        <v>2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2</v>
      </c>
      <c r="L153">
        <v>1</v>
      </c>
      <c r="M153">
        <v>1</v>
      </c>
      <c r="N153">
        <v>0</v>
      </c>
    </row>
    <row r="154" spans="1:14">
      <c r="A154" cm="1">
        <f t="array" ref="A154:N154">IF(Table1_25[[#This Row],[price]]='outliar droping(1)'!P154,Table1_25[#This Row],"")</f>
        <v>5550000</v>
      </c>
      <c r="B154">
        <v>5200</v>
      </c>
      <c r="C154">
        <v>4</v>
      </c>
      <c r="D154">
        <v>2</v>
      </c>
      <c r="E154">
        <v>2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2</v>
      </c>
      <c r="L154">
        <v>0</v>
      </c>
      <c r="M154">
        <v>0</v>
      </c>
      <c r="N154">
        <v>1</v>
      </c>
    </row>
    <row r="155" spans="1:14">
      <c r="A155" cm="1">
        <f t="array" ref="A155:N155">IF(Table1_25[[#This Row],[price]]='outliar droping(1)'!P155,Table1_25[#This Row],"")</f>
        <v>4650000</v>
      </c>
      <c r="B155">
        <v>4300</v>
      </c>
      <c r="C155">
        <v>3</v>
      </c>
      <c r="D155">
        <v>2</v>
      </c>
      <c r="E155">
        <v>2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0</v>
      </c>
      <c r="M155">
        <v>0</v>
      </c>
      <c r="N155">
        <v>1</v>
      </c>
    </row>
    <row r="156" spans="1:14">
      <c r="A156" cm="1">
        <f t="array" ref="A156:N156">IF(Table1_25[[#This Row],[price]]='outliar droping(1)'!P156,Table1_25[#This Row],"")</f>
        <v>7350000</v>
      </c>
      <c r="B156">
        <v>6700</v>
      </c>
      <c r="C156">
        <v>5</v>
      </c>
      <c r="D156">
        <v>3</v>
      </c>
      <c r="E156">
        <v>3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3</v>
      </c>
      <c r="L156">
        <v>1</v>
      </c>
      <c r="M156">
        <v>1</v>
      </c>
      <c r="N156">
        <v>0</v>
      </c>
    </row>
    <row r="157" spans="1:14">
      <c r="A157" cm="1">
        <f t="array" ref="A157:N157">IF(Table1_25[[#This Row],[price]]='outliar droping(1)'!P157,Table1_25[#This Row],"")</f>
        <v>4150000</v>
      </c>
      <c r="B157">
        <v>3750</v>
      </c>
      <c r="C157">
        <v>3</v>
      </c>
      <c r="D157">
        <v>2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</row>
    <row r="158" spans="1:14">
      <c r="A158" cm="1">
        <f t="array" ref="A158:N158">IF(Table1_25[[#This Row],[price]]='outliar droping(1)'!P158,Table1_25[#This Row],"")</f>
        <v>6750000</v>
      </c>
      <c r="B158">
        <v>6200</v>
      </c>
      <c r="C158">
        <v>4</v>
      </c>
      <c r="D158">
        <v>3</v>
      </c>
      <c r="E158">
        <v>2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2</v>
      </c>
      <c r="L158">
        <v>1</v>
      </c>
      <c r="M158">
        <v>1</v>
      </c>
      <c r="N158">
        <v>0</v>
      </c>
    </row>
    <row r="159" spans="1:14">
      <c r="A159" cm="1">
        <f t="array" ref="A159:N159">IF(Table1_25[[#This Row],[price]]='outliar droping(1)'!P159,Table1_25[#This Row],"")</f>
        <v>5850000</v>
      </c>
      <c r="B159">
        <v>5500</v>
      </c>
      <c r="C159">
        <v>4</v>
      </c>
      <c r="D159">
        <v>2</v>
      </c>
      <c r="E159">
        <v>2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2</v>
      </c>
      <c r="L159">
        <v>0</v>
      </c>
      <c r="M159">
        <v>0</v>
      </c>
      <c r="N159">
        <v>1</v>
      </c>
    </row>
    <row r="160" spans="1:14">
      <c r="A160" cm="1">
        <f t="array" ref="A160:N160">IF(Table1_25[[#This Row],[price]]='outliar droping(1)'!P160,Table1_25[#This Row],"")</f>
        <v>3550000</v>
      </c>
      <c r="B160">
        <v>3050</v>
      </c>
      <c r="C160">
        <v>2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</row>
    <row r="161" spans="1:14">
      <c r="A161" cm="1">
        <f t="array" ref="A161:N161">IF(Table1_25[[#This Row],[price]]='outliar droping(1)'!P161,Table1_25[#This Row],"")</f>
        <v>8450000</v>
      </c>
      <c r="B161">
        <v>7750</v>
      </c>
      <c r="C161">
        <v>5</v>
      </c>
      <c r="D161">
        <v>4</v>
      </c>
      <c r="E161">
        <v>3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3</v>
      </c>
      <c r="L161">
        <v>1</v>
      </c>
      <c r="M161">
        <v>1</v>
      </c>
      <c r="N161">
        <v>0</v>
      </c>
    </row>
    <row r="162" spans="1:14">
      <c r="A162" t="str" cm="1">
        <f t="array" ref="A162">IF(Table1_25[[#This Row],[price]]='outliar droping(1)'!P162,Table1_25[#This Row],"")</f>
        <v/>
      </c>
    </row>
    <row r="163" spans="1:14">
      <c r="A163" t="str" cm="1">
        <f t="array" ref="A163">IF(Table1_25[[#This Row],[price]]='outliar droping(1)'!P163,Table1_25[#This Row],"")</f>
        <v/>
      </c>
    </row>
    <row r="164" spans="1:14">
      <c r="A164" t="str" cm="1">
        <f t="array" ref="A164">IF(Table1_25[[#This Row],[price]]='outliar droping(1)'!P164,Table1_25[#This Row],"")</f>
        <v/>
      </c>
    </row>
    <row r="165" spans="1:14">
      <c r="A165" t="str" cm="1">
        <f t="array" ref="A165">IF(Table1_25[[#This Row],[price]]='outliar droping(1)'!P165,Table1_25[#This Row],"")</f>
        <v/>
      </c>
    </row>
    <row r="166" spans="1:14">
      <c r="A166" t="str" cm="1">
        <f t="array" ref="A166">IF(Table1_25[[#This Row],[price]]='outliar droping(1)'!P166,Table1_25[#This Row],"")</f>
        <v/>
      </c>
    </row>
    <row r="167" spans="1:14">
      <c r="A167" cm="1">
        <f t="array" ref="A167:N167">IF(Table1_25[[#This Row],[price]]='outliar droping(1)'!P167,Table1_25[#This Row],"")</f>
        <v>5050000</v>
      </c>
      <c r="B167">
        <v>4650</v>
      </c>
      <c r="C167">
        <v>3</v>
      </c>
      <c r="D167">
        <v>2</v>
      </c>
      <c r="E167">
        <v>2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0</v>
      </c>
      <c r="N167">
        <v>1</v>
      </c>
    </row>
    <row r="168" spans="1:14">
      <c r="A168" cm="1">
        <f t="array" ref="A168:N168">IF(Table1_25[[#This Row],[price]]='outliar droping(1)'!P168,Table1_25[#This Row],"")</f>
        <v>6150000</v>
      </c>
      <c r="B168">
        <v>5750</v>
      </c>
      <c r="C168">
        <v>4</v>
      </c>
      <c r="D168">
        <v>3</v>
      </c>
      <c r="E168">
        <v>2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2</v>
      </c>
      <c r="L168">
        <v>1</v>
      </c>
      <c r="M168">
        <v>1</v>
      </c>
      <c r="N168">
        <v>0</v>
      </c>
    </row>
    <row r="169" spans="1:14">
      <c r="A169" cm="1">
        <f t="array" ref="A169:N169">IF(Table1_25[[#This Row],[price]]='outliar droping(1)'!P169,Table1_25[#This Row],"")</f>
        <v>4550000</v>
      </c>
      <c r="B169">
        <v>4200</v>
      </c>
      <c r="C169">
        <v>3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</row>
    <row r="170" spans="1:14">
      <c r="A170" cm="1">
        <f t="array" ref="A170:N170">IF(Table1_25[[#This Row],[price]]='outliar droping(1)'!P170,Table1_25[#This Row],"")</f>
        <v>7750000</v>
      </c>
      <c r="B170">
        <v>7050</v>
      </c>
      <c r="C170">
        <v>5</v>
      </c>
      <c r="D170">
        <v>3</v>
      </c>
      <c r="E170">
        <v>3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3</v>
      </c>
      <c r="L170">
        <v>1</v>
      </c>
      <c r="M170">
        <v>1</v>
      </c>
      <c r="N170">
        <v>0</v>
      </c>
    </row>
    <row r="171" spans="1:14">
      <c r="A171" cm="1">
        <f t="array" ref="A171:N171">IF(Table1_25[[#This Row],[price]]='outliar droping(1)'!P171,Table1_25[#This Row],"")</f>
        <v>5450000</v>
      </c>
      <c r="B171">
        <v>5100</v>
      </c>
      <c r="C171">
        <v>4</v>
      </c>
      <c r="D171">
        <v>2</v>
      </c>
      <c r="E171">
        <v>2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1</v>
      </c>
    </row>
    <row r="172" spans="1:14">
      <c r="A172" cm="1">
        <f t="array" ref="A172:N172">IF(Table1_25[[#This Row],[price]]='outliar droping(1)'!P172,Table1_25[#This Row],"")</f>
        <v>5150000</v>
      </c>
      <c r="B172">
        <v>4750</v>
      </c>
      <c r="C172">
        <v>3</v>
      </c>
      <c r="D172">
        <v>2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0</v>
      </c>
      <c r="N172">
        <v>1</v>
      </c>
    </row>
    <row r="173" spans="1:14">
      <c r="A173" cm="1">
        <f t="array" ref="A173:N173">IF(Table1_25[[#This Row],[price]]='outliar droping(1)'!P173,Table1_25[#This Row],"")</f>
        <v>6050000</v>
      </c>
      <c r="B173">
        <v>5650</v>
      </c>
      <c r="C173">
        <v>4</v>
      </c>
      <c r="D173">
        <v>3</v>
      </c>
      <c r="E173">
        <v>2</v>
      </c>
      <c r="F173">
        <v>1</v>
      </c>
      <c r="G173">
        <v>1</v>
      </c>
      <c r="H173">
        <v>0</v>
      </c>
      <c r="I173">
        <v>0</v>
      </c>
      <c r="J173">
        <v>1</v>
      </c>
      <c r="K173">
        <v>2</v>
      </c>
      <c r="L173">
        <v>1</v>
      </c>
      <c r="M173">
        <v>1</v>
      </c>
      <c r="N173">
        <v>0</v>
      </c>
    </row>
    <row r="174" spans="1:14">
      <c r="A174" cm="1">
        <f t="array" ref="A174:N174">IF(Table1_25[[#This Row],[price]]='outliar droping(1)'!P174,Table1_25[#This Row],"")</f>
        <v>3850000</v>
      </c>
      <c r="B174">
        <v>3350</v>
      </c>
      <c r="C174">
        <v>2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</row>
    <row r="175" spans="1:14">
      <c r="A175" cm="1">
        <f t="array" ref="A175:N175">IF(Table1_25[[#This Row],[price]]='outliar droping(1)'!P175,Table1_25[#This Row],"")</f>
        <v>7250000</v>
      </c>
      <c r="B175">
        <v>6600</v>
      </c>
      <c r="C175">
        <v>5</v>
      </c>
      <c r="D175">
        <v>3</v>
      </c>
      <c r="E175">
        <v>3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3</v>
      </c>
      <c r="L175">
        <v>1</v>
      </c>
      <c r="M175">
        <v>1</v>
      </c>
      <c r="N175">
        <v>0</v>
      </c>
    </row>
    <row r="176" spans="1:14">
      <c r="A176" cm="1">
        <f t="array" ref="A176:N176">IF(Table1_25[[#This Row],[price]]='outliar droping(1)'!P176,Table1_25[#This Row],"")</f>
        <v>4950000</v>
      </c>
      <c r="B176">
        <v>4550</v>
      </c>
      <c r="C176">
        <v>3</v>
      </c>
      <c r="D176">
        <v>2</v>
      </c>
      <c r="E176">
        <v>2</v>
      </c>
      <c r="F176">
        <v>1</v>
      </c>
      <c r="G176">
        <v>0</v>
      </c>
      <c r="H176">
        <v>1</v>
      </c>
      <c r="I176">
        <v>0</v>
      </c>
      <c r="J176">
        <v>1</v>
      </c>
      <c r="K176">
        <v>2</v>
      </c>
      <c r="L176">
        <v>0</v>
      </c>
      <c r="M176">
        <v>0</v>
      </c>
      <c r="N176">
        <v>1</v>
      </c>
    </row>
    <row r="177" spans="1:14">
      <c r="A177" cm="1">
        <f t="array" ref="A177:N177">IF(Table1_25[[#This Row],[price]]='outliar droping(1)'!P177,Table1_25[#This Row],"")</f>
        <v>6750000</v>
      </c>
      <c r="B177">
        <v>6200</v>
      </c>
      <c r="C177">
        <v>4</v>
      </c>
      <c r="D177">
        <v>3</v>
      </c>
      <c r="E177">
        <v>2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2</v>
      </c>
      <c r="L177">
        <v>1</v>
      </c>
      <c r="M177">
        <v>1</v>
      </c>
      <c r="N177">
        <v>0</v>
      </c>
    </row>
    <row r="178" spans="1:14">
      <c r="A178" cm="1">
        <f t="array" ref="A178:N178">IF(Table1_25[[#This Row],[price]]='outliar droping(1)'!P178,Table1_25[#This Row],"")</f>
        <v>4550000</v>
      </c>
      <c r="B178">
        <v>4200</v>
      </c>
      <c r="C178">
        <v>3</v>
      </c>
      <c r="D178">
        <v>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0</v>
      </c>
    </row>
    <row r="179" spans="1:14">
      <c r="A179" cm="1">
        <f t="array" ref="A179:N179">IF(Table1_25[[#This Row],[price]]='outliar droping(1)'!P179,Table1_25[#This Row],"")</f>
        <v>3650000</v>
      </c>
      <c r="B179">
        <v>3100</v>
      </c>
      <c r="C179">
        <v>2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</row>
    <row r="180" spans="1:14">
      <c r="A180" cm="1">
        <f t="array" ref="A180:N180">IF(Table1_25[[#This Row],[price]]='outliar droping(1)'!P180,Table1_25[#This Row],"")</f>
        <v>8350000</v>
      </c>
      <c r="B180">
        <v>7600</v>
      </c>
      <c r="C180">
        <v>5</v>
      </c>
      <c r="D180">
        <v>4</v>
      </c>
      <c r="E180">
        <v>3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3</v>
      </c>
      <c r="L180">
        <v>1</v>
      </c>
      <c r="M180">
        <v>1</v>
      </c>
      <c r="N180">
        <v>0</v>
      </c>
    </row>
    <row r="181" spans="1:14">
      <c r="A181" cm="1">
        <f t="array" ref="A181:N181">IF(Table1_25[[#This Row],[price]]='outliar droping(1)'!P181,Table1_25[#This Row],"")</f>
        <v>5450000</v>
      </c>
      <c r="B181">
        <v>5100</v>
      </c>
      <c r="C181">
        <v>3</v>
      </c>
      <c r="D181">
        <v>2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0</v>
      </c>
      <c r="N181">
        <v>1</v>
      </c>
    </row>
    <row r="182" spans="1:14">
      <c r="A182" cm="1">
        <f t="array" ref="A182:N182">IF(Table1_25[[#This Row],[price]]='outliar droping(1)'!P182,Table1_25[#This Row],"")</f>
        <v>4350000</v>
      </c>
      <c r="B182">
        <v>4000</v>
      </c>
      <c r="C182">
        <v>3</v>
      </c>
      <c r="D182">
        <v>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</row>
    <row r="183" spans="1:14">
      <c r="A183" cm="1">
        <f t="array" ref="A183:N183">IF(Table1_25[[#This Row],[price]]='outliar droping(1)'!P183,Table1_25[#This Row],"")</f>
        <v>6350000</v>
      </c>
      <c r="B183">
        <v>5900</v>
      </c>
      <c r="C183">
        <v>4</v>
      </c>
      <c r="D183">
        <v>3</v>
      </c>
      <c r="E183">
        <v>2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2</v>
      </c>
      <c r="L183">
        <v>1</v>
      </c>
      <c r="M183">
        <v>1</v>
      </c>
      <c r="N183">
        <v>0</v>
      </c>
    </row>
    <row r="184" spans="1:14">
      <c r="A184" cm="1">
        <f t="array" ref="A184:N184">IF(Table1_25[[#This Row],[price]]='outliar droping(1)'!P184,Table1_25[#This Row],"")</f>
        <v>5650000</v>
      </c>
      <c r="B184">
        <v>5300</v>
      </c>
      <c r="C184">
        <v>4</v>
      </c>
      <c r="D184">
        <v>2</v>
      </c>
      <c r="E184">
        <v>2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2</v>
      </c>
      <c r="L184">
        <v>0</v>
      </c>
      <c r="M184">
        <v>0</v>
      </c>
      <c r="N184">
        <v>1</v>
      </c>
    </row>
    <row r="185" spans="1:14">
      <c r="A185" cm="1">
        <f t="array" ref="A185:N185">IF(Table1_25[[#This Row],[price]]='outliar droping(1)'!P185,Table1_25[#This Row],"")</f>
        <v>4750000</v>
      </c>
      <c r="B185">
        <v>4400</v>
      </c>
      <c r="C185">
        <v>3</v>
      </c>
      <c r="D185">
        <v>2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0</v>
      </c>
      <c r="M185">
        <v>0</v>
      </c>
      <c r="N185">
        <v>1</v>
      </c>
    </row>
    <row r="186" spans="1:14">
      <c r="A186" cm="1">
        <f t="array" ref="A186:N186">IF(Table1_25[[#This Row],[price]]='outliar droping(1)'!P186,Table1_25[#This Row],"")</f>
        <v>7550000</v>
      </c>
      <c r="B186">
        <v>6900</v>
      </c>
      <c r="C186">
        <v>5</v>
      </c>
      <c r="D186">
        <v>3</v>
      </c>
      <c r="E186">
        <v>3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3</v>
      </c>
      <c r="L186">
        <v>1</v>
      </c>
      <c r="M186">
        <v>1</v>
      </c>
      <c r="N186">
        <v>0</v>
      </c>
    </row>
    <row r="187" spans="1:14">
      <c r="A187" cm="1">
        <f t="array" ref="A187:N187">IF(Table1_25[[#This Row],[price]]='outliar droping(1)'!P187,Table1_25[#This Row],"")</f>
        <v>4150000</v>
      </c>
      <c r="B187">
        <v>3800</v>
      </c>
      <c r="C187">
        <v>3</v>
      </c>
      <c r="D187">
        <v>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>
      <c r="A188" cm="1">
        <f t="array" ref="A188:N188">IF(Table1_25[[#This Row],[price]]='outliar droping(1)'!P188,Table1_25[#This Row],"")</f>
        <v>6950000</v>
      </c>
      <c r="B188">
        <v>6350</v>
      </c>
      <c r="C188">
        <v>4</v>
      </c>
      <c r="D188">
        <v>3</v>
      </c>
      <c r="E188">
        <v>2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2</v>
      </c>
      <c r="L188">
        <v>1</v>
      </c>
      <c r="M188">
        <v>1</v>
      </c>
      <c r="N188">
        <v>0</v>
      </c>
    </row>
    <row r="189" spans="1:14">
      <c r="A189" cm="1">
        <f t="array" ref="A189:N189">IF(Table1_25[[#This Row],[price]]='outliar droping(1)'!P189,Table1_25[#This Row],"")</f>
        <v>5850000</v>
      </c>
      <c r="B189">
        <v>5500</v>
      </c>
      <c r="C189">
        <v>4</v>
      </c>
      <c r="D189">
        <v>2</v>
      </c>
      <c r="E189">
        <v>2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2</v>
      </c>
      <c r="L189">
        <v>0</v>
      </c>
      <c r="M189">
        <v>0</v>
      </c>
      <c r="N189">
        <v>1</v>
      </c>
    </row>
    <row r="190" spans="1:14">
      <c r="A190" cm="1">
        <f t="array" ref="A190:N190">IF(Table1_25[[#This Row],[price]]='outliar droping(1)'!P190,Table1_25[#This Row],"")</f>
        <v>3550000</v>
      </c>
      <c r="B190">
        <v>3000</v>
      </c>
      <c r="C190">
        <v>2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</row>
    <row r="191" spans="1:14">
      <c r="A191" cm="1">
        <f t="array" ref="A191:N191">IF(Table1_25[[#This Row],[price]]='outliar droping(1)'!P191,Table1_25[#This Row],"")</f>
        <v>8650000</v>
      </c>
      <c r="B191">
        <v>8000</v>
      </c>
      <c r="C191">
        <v>5</v>
      </c>
      <c r="D191">
        <v>4</v>
      </c>
      <c r="E191">
        <v>3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3</v>
      </c>
      <c r="L191">
        <v>1</v>
      </c>
      <c r="M191">
        <v>1</v>
      </c>
      <c r="N191">
        <v>0</v>
      </c>
    </row>
    <row r="192" spans="1:14">
      <c r="A192" t="str" cm="1">
        <f t="array" ref="A192">IF(Table1_25[[#This Row],[price]]='outliar droping(1)'!P192,Table1_25[#This Row],"")</f>
        <v/>
      </c>
    </row>
    <row r="193" spans="1:14">
      <c r="A193" t="str" cm="1">
        <f t="array" ref="A193">IF(Table1_25[[#This Row],[price]]='outliar droping(1)'!P193,Table1_25[#This Row],"")</f>
        <v/>
      </c>
    </row>
    <row r="194" spans="1:14">
      <c r="A194" t="str" cm="1">
        <f t="array" ref="A194">IF(Table1_25[[#This Row],[price]]='outliar droping(1)'!P194,Table1_25[#This Row],"")</f>
        <v/>
      </c>
    </row>
    <row r="195" spans="1:14">
      <c r="A195" t="str" cm="1">
        <f t="array" ref="A195">IF(Table1_25[[#This Row],[price]]='outliar droping(1)'!P195,Table1_25[#This Row],"")</f>
        <v/>
      </c>
    </row>
    <row r="196" spans="1:14">
      <c r="A196" t="str" cm="1">
        <f t="array" ref="A196">IF(Table1_25[[#This Row],[price]]='outliar droping(1)'!P196,Table1_25[#This Row],"")</f>
        <v/>
      </c>
    </row>
    <row r="197" spans="1:14">
      <c r="A197" cm="1">
        <f t="array" ref="A197:N197">IF(Table1_25[[#This Row],[price]]='outliar droping(1)'!P197,Table1_25[#This Row],"")</f>
        <v>5250000</v>
      </c>
      <c r="B197">
        <v>4850</v>
      </c>
      <c r="C197">
        <v>3</v>
      </c>
      <c r="D197">
        <v>2</v>
      </c>
      <c r="E197">
        <v>2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0</v>
      </c>
      <c r="N197">
        <v>1</v>
      </c>
    </row>
    <row r="198" spans="1:14">
      <c r="A198" cm="1">
        <f t="array" ref="A198:N198">IF(Table1_25[[#This Row],[price]]='outliar droping(1)'!P198,Table1_25[#This Row],"")</f>
        <v>6150000</v>
      </c>
      <c r="B198">
        <v>5750</v>
      </c>
      <c r="C198">
        <v>4</v>
      </c>
      <c r="D198">
        <v>3</v>
      </c>
      <c r="E198">
        <v>2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2</v>
      </c>
      <c r="L198">
        <v>1</v>
      </c>
      <c r="M198">
        <v>1</v>
      </c>
      <c r="N198">
        <v>0</v>
      </c>
    </row>
    <row r="199" spans="1:14">
      <c r="A199" cm="1">
        <f t="array" ref="A199:N199">IF(Table1_25[[#This Row],[price]]='outliar droping(1)'!P199,Table1_25[#This Row],"")</f>
        <v>4450000</v>
      </c>
      <c r="B199">
        <v>4100</v>
      </c>
      <c r="C199">
        <v>3</v>
      </c>
      <c r="D199">
        <v>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</row>
    <row r="200" spans="1:14">
      <c r="A200" cm="1">
        <f t="array" ref="A200:N200">IF(Table1_25[[#This Row],[price]]='outliar droping(1)'!P200,Table1_25[#This Row],"")</f>
        <v>7850000</v>
      </c>
      <c r="B200">
        <v>7200</v>
      </c>
      <c r="C200">
        <v>5</v>
      </c>
      <c r="D200">
        <v>3</v>
      </c>
      <c r="E200">
        <v>3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3</v>
      </c>
      <c r="L200">
        <v>1</v>
      </c>
      <c r="M200">
        <v>1</v>
      </c>
      <c r="N200">
        <v>0</v>
      </c>
    </row>
    <row r="201" spans="1:14">
      <c r="A201" cm="1">
        <f t="array" ref="A201:N201">IF(Table1_25[[#This Row],[price]]='outliar droping(1)'!P201,Table1_25[#This Row],"")</f>
        <v>5550000</v>
      </c>
      <c r="B201">
        <v>5200</v>
      </c>
      <c r="C201">
        <v>4</v>
      </c>
      <c r="D201">
        <v>2</v>
      </c>
      <c r="E201">
        <v>2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2</v>
      </c>
      <c r="L201">
        <v>0</v>
      </c>
      <c r="M201">
        <v>0</v>
      </c>
      <c r="N2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CF00-30BC-4771-AB9E-633C889363ED}">
  <dimension ref="A1:N201"/>
  <sheetViews>
    <sheetView workbookViewId="0">
      <selection sqref="A1:N201"/>
    </sheetView>
  </sheetViews>
  <sheetFormatPr defaultRowHeight="14.5"/>
  <cols>
    <col min="2" max="14" width="5.453125" customWidth="1"/>
  </cols>
  <sheetData>
    <row r="1" spans="1:14" ht="10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18</v>
      </c>
    </row>
    <row r="2" spans="1:14">
      <c r="A2">
        <v>13300000</v>
      </c>
      <c r="B2">
        <v>7420</v>
      </c>
      <c r="C2">
        <v>4</v>
      </c>
      <c r="D2">
        <v>2</v>
      </c>
      <c r="E2">
        <v>3</v>
      </c>
      <c r="F2">
        <v>1</v>
      </c>
      <c r="G2">
        <v>0</v>
      </c>
      <c r="H2">
        <v>0</v>
      </c>
      <c r="I2">
        <v>0</v>
      </c>
      <c r="J2">
        <v>1</v>
      </c>
      <c r="K2">
        <v>2</v>
      </c>
      <c r="L2">
        <v>1</v>
      </c>
      <c r="M2">
        <v>1</v>
      </c>
      <c r="N2">
        <v>0</v>
      </c>
    </row>
    <row r="3" spans="1:14">
      <c r="A3" t="s">
        <v>28</v>
      </c>
    </row>
    <row r="4" spans="1:14">
      <c r="A4" t="s">
        <v>28</v>
      </c>
    </row>
    <row r="5" spans="1:14">
      <c r="A5">
        <v>13650000</v>
      </c>
      <c r="B5">
        <v>7500</v>
      </c>
      <c r="C5">
        <v>4</v>
      </c>
      <c r="D5">
        <v>2</v>
      </c>
      <c r="E5">
        <v>2</v>
      </c>
      <c r="F5">
        <v>1</v>
      </c>
      <c r="G5">
        <v>0</v>
      </c>
      <c r="H5">
        <v>1</v>
      </c>
      <c r="I5">
        <v>0</v>
      </c>
      <c r="J5">
        <v>1</v>
      </c>
      <c r="K5">
        <v>3</v>
      </c>
      <c r="L5">
        <v>1</v>
      </c>
      <c r="M5">
        <v>1</v>
      </c>
      <c r="N5">
        <v>0</v>
      </c>
    </row>
    <row r="6" spans="1:14">
      <c r="A6">
        <v>12200000</v>
      </c>
      <c r="B6">
        <v>7420</v>
      </c>
      <c r="C6">
        <v>4</v>
      </c>
      <c r="D6">
        <v>1</v>
      </c>
      <c r="E6">
        <v>2</v>
      </c>
      <c r="F6">
        <v>1</v>
      </c>
      <c r="G6">
        <v>1</v>
      </c>
      <c r="H6">
        <v>1</v>
      </c>
      <c r="I6">
        <v>0</v>
      </c>
      <c r="J6">
        <v>1</v>
      </c>
      <c r="K6">
        <v>2</v>
      </c>
      <c r="L6">
        <v>0</v>
      </c>
      <c r="M6">
        <v>1</v>
      </c>
      <c r="N6">
        <v>0</v>
      </c>
    </row>
    <row r="7" spans="1:14">
      <c r="A7">
        <v>11200000</v>
      </c>
      <c r="B7">
        <v>6500</v>
      </c>
      <c r="C7">
        <v>3</v>
      </c>
      <c r="D7">
        <v>2</v>
      </c>
      <c r="E7">
        <v>2</v>
      </c>
      <c r="F7">
        <v>1</v>
      </c>
      <c r="G7">
        <v>0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  <c r="N7">
        <v>1</v>
      </c>
    </row>
    <row r="8" spans="1:14">
      <c r="A8">
        <v>8100000</v>
      </c>
      <c r="B8">
        <v>4800</v>
      </c>
      <c r="C8">
        <v>3</v>
      </c>
      <c r="D8">
        <v>2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</row>
    <row r="9" spans="1:14">
      <c r="A9">
        <v>11950000</v>
      </c>
      <c r="B9">
        <v>5400</v>
      </c>
      <c r="C9">
        <v>4</v>
      </c>
      <c r="D9">
        <v>3</v>
      </c>
      <c r="E9">
        <v>2</v>
      </c>
      <c r="F9">
        <v>1</v>
      </c>
      <c r="G9">
        <v>1</v>
      </c>
      <c r="H9">
        <v>0</v>
      </c>
      <c r="I9">
        <v>0</v>
      </c>
      <c r="J9">
        <v>1</v>
      </c>
      <c r="K9">
        <v>2</v>
      </c>
      <c r="L9">
        <v>1</v>
      </c>
      <c r="M9">
        <v>1</v>
      </c>
      <c r="N9">
        <v>0</v>
      </c>
    </row>
    <row r="10" spans="1:14">
      <c r="A10">
        <v>5200000</v>
      </c>
      <c r="B10">
        <v>3200</v>
      </c>
      <c r="C10">
        <v>2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>
        <v>7600000</v>
      </c>
      <c r="B11">
        <v>4100</v>
      </c>
      <c r="C11">
        <v>3</v>
      </c>
      <c r="D11">
        <v>1</v>
      </c>
      <c r="E11">
        <v>2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</row>
    <row r="12" spans="1:14">
      <c r="A12">
        <v>10800000</v>
      </c>
      <c r="B12">
        <v>5600</v>
      </c>
      <c r="C12">
        <v>3</v>
      </c>
      <c r="D12">
        <v>2</v>
      </c>
      <c r="E12">
        <v>2</v>
      </c>
      <c r="F12">
        <v>1</v>
      </c>
      <c r="G12">
        <v>0</v>
      </c>
      <c r="H12">
        <v>0</v>
      </c>
      <c r="I12">
        <v>0</v>
      </c>
      <c r="J12">
        <v>1</v>
      </c>
      <c r="K12">
        <v>2</v>
      </c>
      <c r="L12">
        <v>1</v>
      </c>
      <c r="M12">
        <v>1</v>
      </c>
      <c r="N12">
        <v>0</v>
      </c>
    </row>
    <row r="13" spans="1:14">
      <c r="A13">
        <v>13100000</v>
      </c>
      <c r="B13">
        <v>6200</v>
      </c>
      <c r="C13">
        <v>4</v>
      </c>
      <c r="D13">
        <v>3</v>
      </c>
      <c r="E13">
        <v>3</v>
      </c>
      <c r="F13">
        <v>1</v>
      </c>
      <c r="G13">
        <v>1</v>
      </c>
      <c r="H13">
        <v>1</v>
      </c>
      <c r="I13">
        <v>0</v>
      </c>
      <c r="J13">
        <v>1</v>
      </c>
      <c r="K13">
        <v>2</v>
      </c>
      <c r="L13">
        <v>1</v>
      </c>
      <c r="M13">
        <v>1</v>
      </c>
      <c r="N13">
        <v>0</v>
      </c>
    </row>
    <row r="14" spans="1:14">
      <c r="A14">
        <v>6100000</v>
      </c>
      <c r="B14">
        <v>3700</v>
      </c>
      <c r="C14">
        <v>2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>
        <v>8900000</v>
      </c>
      <c r="B15">
        <v>4550</v>
      </c>
      <c r="C15">
        <v>3</v>
      </c>
      <c r="D15">
        <v>2</v>
      </c>
      <c r="E15">
        <v>2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</row>
    <row r="16" spans="1:14">
      <c r="A16" t="s">
        <v>28</v>
      </c>
    </row>
    <row r="17" spans="1:14">
      <c r="A17">
        <v>4500000</v>
      </c>
      <c r="B17">
        <v>2850</v>
      </c>
      <c r="C17">
        <v>2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10100000</v>
      </c>
      <c r="B18">
        <v>5100</v>
      </c>
      <c r="C18">
        <v>3</v>
      </c>
      <c r="D18">
        <v>2</v>
      </c>
      <c r="E18">
        <v>2</v>
      </c>
      <c r="F18">
        <v>1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1</v>
      </c>
    </row>
    <row r="19" spans="1:14">
      <c r="A19" t="s">
        <v>28</v>
      </c>
    </row>
    <row r="20" spans="1:14">
      <c r="A20">
        <v>6500000</v>
      </c>
      <c r="B20">
        <v>3950</v>
      </c>
      <c r="C20">
        <v>2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</row>
    <row r="21" spans="1:14">
      <c r="A21">
        <v>11400000</v>
      </c>
      <c r="B21">
        <v>5900</v>
      </c>
      <c r="C21">
        <v>3</v>
      </c>
      <c r="D21">
        <v>2</v>
      </c>
      <c r="E21">
        <v>2</v>
      </c>
      <c r="F21">
        <v>1</v>
      </c>
      <c r="G21">
        <v>0</v>
      </c>
      <c r="H21">
        <v>1</v>
      </c>
      <c r="I21">
        <v>0</v>
      </c>
      <c r="J21">
        <v>1</v>
      </c>
      <c r="K21">
        <v>2</v>
      </c>
      <c r="L21">
        <v>1</v>
      </c>
      <c r="M21">
        <v>0</v>
      </c>
      <c r="N21">
        <v>1</v>
      </c>
    </row>
    <row r="22" spans="1:14">
      <c r="A22">
        <v>5200000</v>
      </c>
      <c r="B22">
        <v>4600</v>
      </c>
      <c r="C22">
        <v>3</v>
      </c>
      <c r="D22">
        <v>2</v>
      </c>
      <c r="E22">
        <v>2</v>
      </c>
      <c r="F22">
        <v>1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</row>
    <row r="23" spans="1:14">
      <c r="A23">
        <v>6100000</v>
      </c>
      <c r="B23">
        <v>5800</v>
      </c>
      <c r="C23">
        <v>4</v>
      </c>
      <c r="D23">
        <v>3</v>
      </c>
      <c r="E23">
        <v>2</v>
      </c>
      <c r="F23">
        <v>1</v>
      </c>
      <c r="G23">
        <v>1</v>
      </c>
      <c r="H23">
        <v>0</v>
      </c>
      <c r="I23">
        <v>0</v>
      </c>
      <c r="J23">
        <v>1</v>
      </c>
      <c r="K23">
        <v>2</v>
      </c>
      <c r="L23">
        <v>1</v>
      </c>
      <c r="M23">
        <v>1</v>
      </c>
      <c r="N23">
        <v>0</v>
      </c>
    </row>
    <row r="24" spans="1:14">
      <c r="A24">
        <v>3950000</v>
      </c>
      <c r="B24">
        <v>3500</v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1:14">
      <c r="A25">
        <v>7200000</v>
      </c>
      <c r="B25">
        <v>6400</v>
      </c>
      <c r="C25">
        <v>4</v>
      </c>
      <c r="D25">
        <v>3</v>
      </c>
      <c r="E25">
        <v>3</v>
      </c>
      <c r="F25">
        <v>1</v>
      </c>
      <c r="G25">
        <v>1</v>
      </c>
      <c r="H25">
        <v>1</v>
      </c>
      <c r="I25">
        <v>0</v>
      </c>
      <c r="J25">
        <v>1</v>
      </c>
      <c r="K25">
        <v>2</v>
      </c>
      <c r="L25">
        <v>1</v>
      </c>
      <c r="M25">
        <v>1</v>
      </c>
      <c r="N25">
        <v>0</v>
      </c>
    </row>
    <row r="26" spans="1:14">
      <c r="A26">
        <v>4550000</v>
      </c>
      <c r="B26">
        <v>4100</v>
      </c>
      <c r="C26">
        <v>3</v>
      </c>
      <c r="D26">
        <v>2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</row>
    <row r="27" spans="1:14">
      <c r="A27">
        <v>6850000</v>
      </c>
      <c r="B27">
        <v>6000</v>
      </c>
      <c r="C27">
        <v>4</v>
      </c>
      <c r="D27">
        <v>2</v>
      </c>
      <c r="E27">
        <v>2</v>
      </c>
      <c r="F27">
        <v>1</v>
      </c>
      <c r="G27">
        <v>1</v>
      </c>
      <c r="H27">
        <v>0</v>
      </c>
      <c r="I27">
        <v>0</v>
      </c>
      <c r="J27">
        <v>1</v>
      </c>
      <c r="K27">
        <v>2</v>
      </c>
      <c r="L27">
        <v>1</v>
      </c>
      <c r="M27">
        <v>1</v>
      </c>
      <c r="N27">
        <v>0</v>
      </c>
    </row>
    <row r="28" spans="1:14">
      <c r="A28">
        <v>5400000</v>
      </c>
      <c r="B28">
        <v>5000</v>
      </c>
      <c r="C28">
        <v>3</v>
      </c>
      <c r="D28">
        <v>2</v>
      </c>
      <c r="E28">
        <v>2</v>
      </c>
      <c r="F28">
        <v>1</v>
      </c>
      <c r="G28">
        <v>0</v>
      </c>
      <c r="H28">
        <v>1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</row>
    <row r="29" spans="1:14">
      <c r="A29">
        <v>3350000</v>
      </c>
      <c r="B29">
        <v>3000</v>
      </c>
      <c r="C29">
        <v>2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>
      <c r="A30">
        <v>8100000</v>
      </c>
      <c r="B30">
        <v>7200</v>
      </c>
      <c r="C30">
        <v>5</v>
      </c>
      <c r="D30">
        <v>3</v>
      </c>
      <c r="E30">
        <v>3</v>
      </c>
      <c r="F30">
        <v>1</v>
      </c>
      <c r="G30">
        <v>1</v>
      </c>
      <c r="H30">
        <v>1</v>
      </c>
      <c r="I30">
        <v>0</v>
      </c>
      <c r="J30">
        <v>1</v>
      </c>
      <c r="K30">
        <v>3</v>
      </c>
      <c r="L30">
        <v>1</v>
      </c>
      <c r="M30">
        <v>1</v>
      </c>
      <c r="N30">
        <v>0</v>
      </c>
    </row>
    <row r="31" spans="1:14">
      <c r="A31">
        <v>4900000</v>
      </c>
      <c r="B31">
        <v>4300</v>
      </c>
      <c r="C31">
        <v>3</v>
      </c>
      <c r="D31">
        <v>2</v>
      </c>
      <c r="E31">
        <v>2</v>
      </c>
      <c r="F31">
        <v>1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</row>
    <row r="32" spans="1:14">
      <c r="A32">
        <v>3750000</v>
      </c>
      <c r="B32">
        <v>3400</v>
      </c>
      <c r="C32">
        <v>2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</row>
    <row r="33" spans="1:14">
      <c r="A33">
        <v>6400000</v>
      </c>
      <c r="B33">
        <v>5700</v>
      </c>
      <c r="C33">
        <v>4</v>
      </c>
      <c r="D33">
        <v>2</v>
      </c>
      <c r="E33">
        <v>2</v>
      </c>
      <c r="F33">
        <v>1</v>
      </c>
      <c r="G33">
        <v>1</v>
      </c>
      <c r="H33">
        <v>0</v>
      </c>
      <c r="I33">
        <v>0</v>
      </c>
      <c r="J33">
        <v>1</v>
      </c>
      <c r="K33">
        <v>2</v>
      </c>
      <c r="L33">
        <v>1</v>
      </c>
      <c r="M33">
        <v>1</v>
      </c>
      <c r="N33">
        <v>0</v>
      </c>
    </row>
    <row r="34" spans="1:14">
      <c r="A34">
        <v>5650000</v>
      </c>
      <c r="B34">
        <v>5200</v>
      </c>
      <c r="C34">
        <v>3</v>
      </c>
      <c r="D34">
        <v>2</v>
      </c>
      <c r="E34">
        <v>2</v>
      </c>
      <c r="F34">
        <v>1</v>
      </c>
      <c r="G34">
        <v>0</v>
      </c>
      <c r="H34">
        <v>1</v>
      </c>
      <c r="I34">
        <v>0</v>
      </c>
      <c r="J34">
        <v>1</v>
      </c>
      <c r="K34">
        <v>2</v>
      </c>
      <c r="L34">
        <v>0</v>
      </c>
      <c r="M34">
        <v>0</v>
      </c>
      <c r="N34">
        <v>1</v>
      </c>
    </row>
    <row r="35" spans="1:14">
      <c r="A35">
        <v>4700000</v>
      </c>
      <c r="B35">
        <v>4400</v>
      </c>
      <c r="C35">
        <v>3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1</v>
      </c>
    </row>
    <row r="36" spans="1:14">
      <c r="A36">
        <v>7600000</v>
      </c>
      <c r="B36">
        <v>6800</v>
      </c>
      <c r="C36">
        <v>5</v>
      </c>
      <c r="D36">
        <v>3</v>
      </c>
      <c r="E36">
        <v>3</v>
      </c>
      <c r="F36">
        <v>1</v>
      </c>
      <c r="G36">
        <v>1</v>
      </c>
      <c r="H36">
        <v>1</v>
      </c>
      <c r="I36">
        <v>0</v>
      </c>
      <c r="J36">
        <v>1</v>
      </c>
      <c r="K36">
        <v>3</v>
      </c>
      <c r="L36">
        <v>1</v>
      </c>
      <c r="M36">
        <v>1</v>
      </c>
      <c r="N36">
        <v>0</v>
      </c>
    </row>
    <row r="37" spans="1:14">
      <c r="A37">
        <v>4200000</v>
      </c>
      <c r="B37">
        <v>3900</v>
      </c>
      <c r="C37">
        <v>3</v>
      </c>
      <c r="D37">
        <v>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</row>
    <row r="38" spans="1:14">
      <c r="A38">
        <v>6950000</v>
      </c>
      <c r="B38">
        <v>6100</v>
      </c>
      <c r="C38">
        <v>4</v>
      </c>
      <c r="D38">
        <v>3</v>
      </c>
      <c r="E38">
        <v>2</v>
      </c>
      <c r="F38">
        <v>1</v>
      </c>
      <c r="G38">
        <v>1</v>
      </c>
      <c r="H38">
        <v>0</v>
      </c>
      <c r="I38">
        <v>0</v>
      </c>
      <c r="J38">
        <v>1</v>
      </c>
      <c r="K38">
        <v>2</v>
      </c>
      <c r="L38">
        <v>1</v>
      </c>
      <c r="M38">
        <v>1</v>
      </c>
      <c r="N38">
        <v>0</v>
      </c>
    </row>
    <row r="39" spans="1:14">
      <c r="A39">
        <v>5150000</v>
      </c>
      <c r="B39">
        <v>4800</v>
      </c>
      <c r="C39">
        <v>3</v>
      </c>
      <c r="D39">
        <v>2</v>
      </c>
      <c r="E39">
        <v>2</v>
      </c>
      <c r="F39">
        <v>1</v>
      </c>
      <c r="G39">
        <v>0</v>
      </c>
      <c r="H39">
        <v>1</v>
      </c>
      <c r="I39">
        <v>0</v>
      </c>
      <c r="J39">
        <v>1</v>
      </c>
      <c r="K39">
        <v>2</v>
      </c>
      <c r="L39">
        <v>0</v>
      </c>
      <c r="M39">
        <v>0</v>
      </c>
      <c r="N39">
        <v>1</v>
      </c>
    </row>
    <row r="40" spans="1:14">
      <c r="A40">
        <v>3600000</v>
      </c>
      <c r="B40">
        <v>3200</v>
      </c>
      <c r="C40">
        <v>2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</row>
    <row r="41" spans="1:14">
      <c r="A41">
        <v>8350000</v>
      </c>
      <c r="B41">
        <v>7400</v>
      </c>
      <c r="C41">
        <v>5</v>
      </c>
      <c r="D41">
        <v>3</v>
      </c>
      <c r="E41">
        <v>3</v>
      </c>
      <c r="F41">
        <v>1</v>
      </c>
      <c r="G41">
        <v>1</v>
      </c>
      <c r="H41">
        <v>1</v>
      </c>
      <c r="I41">
        <v>0</v>
      </c>
      <c r="J41">
        <v>1</v>
      </c>
      <c r="K41">
        <v>3</v>
      </c>
      <c r="L41">
        <v>1</v>
      </c>
      <c r="M41">
        <v>1</v>
      </c>
      <c r="N41">
        <v>0</v>
      </c>
    </row>
    <row r="42" spans="1:14">
      <c r="A42" t="s">
        <v>28</v>
      </c>
    </row>
    <row r="43" spans="1:14">
      <c r="A43" t="s">
        <v>28</v>
      </c>
    </row>
    <row r="44" spans="1:14">
      <c r="A44" t="s">
        <v>28</v>
      </c>
    </row>
    <row r="45" spans="1:14">
      <c r="A45" t="s">
        <v>28</v>
      </c>
    </row>
    <row r="46" spans="1:14">
      <c r="A46" t="s">
        <v>28</v>
      </c>
    </row>
    <row r="47" spans="1:14">
      <c r="A47">
        <v>4400000</v>
      </c>
      <c r="B47">
        <v>4050</v>
      </c>
      <c r="C47">
        <v>3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1</v>
      </c>
    </row>
    <row r="48" spans="1:14">
      <c r="A48">
        <v>5850000</v>
      </c>
      <c r="B48">
        <v>5600</v>
      </c>
      <c r="C48">
        <v>4</v>
      </c>
      <c r="D48">
        <v>2</v>
      </c>
      <c r="E48">
        <v>2</v>
      </c>
      <c r="F48">
        <v>1</v>
      </c>
      <c r="G48">
        <v>1</v>
      </c>
      <c r="H48">
        <v>0</v>
      </c>
      <c r="I48">
        <v>0</v>
      </c>
      <c r="J48">
        <v>1</v>
      </c>
      <c r="K48">
        <v>2</v>
      </c>
      <c r="L48">
        <v>1</v>
      </c>
      <c r="M48">
        <v>1</v>
      </c>
      <c r="N48">
        <v>0</v>
      </c>
    </row>
    <row r="49" spans="1:14">
      <c r="A49">
        <v>5050000</v>
      </c>
      <c r="B49">
        <v>4700</v>
      </c>
      <c r="C49">
        <v>3</v>
      </c>
      <c r="D49">
        <v>2</v>
      </c>
      <c r="E49">
        <v>2</v>
      </c>
      <c r="F49">
        <v>1</v>
      </c>
      <c r="G49">
        <v>0</v>
      </c>
      <c r="H49">
        <v>1</v>
      </c>
      <c r="I49">
        <v>0</v>
      </c>
      <c r="J49">
        <v>1</v>
      </c>
      <c r="K49">
        <v>2</v>
      </c>
      <c r="L49">
        <v>0</v>
      </c>
      <c r="M49">
        <v>0</v>
      </c>
      <c r="N49">
        <v>1</v>
      </c>
    </row>
    <row r="50" spans="1:14">
      <c r="A50">
        <v>3900000</v>
      </c>
      <c r="B50">
        <v>3450</v>
      </c>
      <c r="C50">
        <v>2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</row>
    <row r="51" spans="1:14">
      <c r="A51">
        <v>7300000</v>
      </c>
      <c r="B51">
        <v>6600</v>
      </c>
      <c r="C51">
        <v>5</v>
      </c>
      <c r="D51">
        <v>3</v>
      </c>
      <c r="E51">
        <v>3</v>
      </c>
      <c r="F51">
        <v>1</v>
      </c>
      <c r="G51">
        <v>1</v>
      </c>
      <c r="H51">
        <v>1</v>
      </c>
      <c r="I51">
        <v>0</v>
      </c>
      <c r="J51">
        <v>1</v>
      </c>
      <c r="K51">
        <v>3</v>
      </c>
      <c r="L51">
        <v>1</v>
      </c>
      <c r="M51">
        <v>1</v>
      </c>
      <c r="N51">
        <v>0</v>
      </c>
    </row>
    <row r="52" spans="1:14">
      <c r="A52">
        <v>4650000</v>
      </c>
      <c r="B52">
        <v>4350</v>
      </c>
      <c r="C52">
        <v>3</v>
      </c>
      <c r="D52">
        <v>2</v>
      </c>
      <c r="E52">
        <v>2</v>
      </c>
      <c r="F52">
        <v>1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0</v>
      </c>
      <c r="N52">
        <v>1</v>
      </c>
    </row>
    <row r="53" spans="1:14">
      <c r="A53">
        <v>5450000</v>
      </c>
      <c r="B53">
        <v>5100</v>
      </c>
      <c r="C53">
        <v>3</v>
      </c>
      <c r="D53">
        <v>2</v>
      </c>
      <c r="E53">
        <v>2</v>
      </c>
      <c r="F53">
        <v>1</v>
      </c>
      <c r="G53">
        <v>1</v>
      </c>
      <c r="H53">
        <v>0</v>
      </c>
      <c r="I53">
        <v>0</v>
      </c>
      <c r="J53">
        <v>1</v>
      </c>
      <c r="K53">
        <v>2</v>
      </c>
      <c r="L53">
        <v>1</v>
      </c>
      <c r="M53">
        <v>1</v>
      </c>
      <c r="N53">
        <v>0</v>
      </c>
    </row>
    <row r="54" spans="1:14">
      <c r="A54">
        <v>3850000</v>
      </c>
      <c r="B54">
        <v>3250</v>
      </c>
      <c r="C54">
        <v>2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</row>
    <row r="55" spans="1:14">
      <c r="A55">
        <v>6150000</v>
      </c>
      <c r="B55">
        <v>5900</v>
      </c>
      <c r="C55">
        <v>4</v>
      </c>
      <c r="D55">
        <v>3</v>
      </c>
      <c r="E55">
        <v>2</v>
      </c>
      <c r="F55">
        <v>1</v>
      </c>
      <c r="G55">
        <v>1</v>
      </c>
      <c r="H55">
        <v>1</v>
      </c>
      <c r="I55">
        <v>0</v>
      </c>
      <c r="J55">
        <v>1</v>
      </c>
      <c r="K55">
        <v>2</v>
      </c>
      <c r="L55">
        <v>1</v>
      </c>
      <c r="M55">
        <v>1</v>
      </c>
      <c r="N55">
        <v>0</v>
      </c>
    </row>
    <row r="56" spans="1:14">
      <c r="A56">
        <v>4950000</v>
      </c>
      <c r="B56">
        <v>4550</v>
      </c>
      <c r="C56">
        <v>3</v>
      </c>
      <c r="D56">
        <v>2</v>
      </c>
      <c r="E56">
        <v>2</v>
      </c>
      <c r="F56">
        <v>1</v>
      </c>
      <c r="G56">
        <v>0</v>
      </c>
      <c r="H56">
        <v>1</v>
      </c>
      <c r="I56">
        <v>0</v>
      </c>
      <c r="J56">
        <v>1</v>
      </c>
      <c r="K56">
        <v>2</v>
      </c>
      <c r="L56">
        <v>0</v>
      </c>
      <c r="M56">
        <v>0</v>
      </c>
      <c r="N56">
        <v>1</v>
      </c>
    </row>
    <row r="57" spans="1:14">
      <c r="A57">
        <v>7050000</v>
      </c>
      <c r="B57">
        <v>6550</v>
      </c>
      <c r="C57">
        <v>4</v>
      </c>
      <c r="D57">
        <v>3</v>
      </c>
      <c r="E57">
        <v>3</v>
      </c>
      <c r="F57">
        <v>1</v>
      </c>
      <c r="G57">
        <v>1</v>
      </c>
      <c r="H57">
        <v>0</v>
      </c>
      <c r="I57">
        <v>0</v>
      </c>
      <c r="J57">
        <v>1</v>
      </c>
      <c r="K57">
        <v>3</v>
      </c>
      <c r="L57">
        <v>1</v>
      </c>
      <c r="M57">
        <v>1</v>
      </c>
      <c r="N57">
        <v>0</v>
      </c>
    </row>
    <row r="58" spans="1:14">
      <c r="A58">
        <v>4450000</v>
      </c>
      <c r="B58">
        <v>4150</v>
      </c>
      <c r="C58">
        <v>3</v>
      </c>
      <c r="D58">
        <v>2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1</v>
      </c>
    </row>
    <row r="59" spans="1:14">
      <c r="A59">
        <v>3650000</v>
      </c>
      <c r="B59">
        <v>3150</v>
      </c>
      <c r="C59">
        <v>2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</row>
    <row r="60" spans="1:14">
      <c r="A60">
        <v>7750000</v>
      </c>
      <c r="B60">
        <v>7100</v>
      </c>
      <c r="C60">
        <v>5</v>
      </c>
      <c r="D60">
        <v>3</v>
      </c>
      <c r="E60">
        <v>3</v>
      </c>
      <c r="F60">
        <v>1</v>
      </c>
      <c r="G60">
        <v>1</v>
      </c>
      <c r="H60">
        <v>1</v>
      </c>
      <c r="I60">
        <v>0</v>
      </c>
      <c r="J60">
        <v>1</v>
      </c>
      <c r="K60">
        <v>3</v>
      </c>
      <c r="L60">
        <v>1</v>
      </c>
      <c r="M60">
        <v>1</v>
      </c>
      <c r="N60">
        <v>0</v>
      </c>
    </row>
    <row r="61" spans="1:14">
      <c r="A61">
        <v>5250000</v>
      </c>
      <c r="B61">
        <v>4950</v>
      </c>
      <c r="C61">
        <v>3</v>
      </c>
      <c r="D61">
        <v>2</v>
      </c>
      <c r="E61">
        <v>2</v>
      </c>
      <c r="F61">
        <v>1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0</v>
      </c>
      <c r="N61">
        <v>1</v>
      </c>
    </row>
    <row r="62" spans="1:14">
      <c r="A62">
        <v>4350000</v>
      </c>
      <c r="B62">
        <v>4050</v>
      </c>
      <c r="C62">
        <v>3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</row>
    <row r="63" spans="1:14">
      <c r="A63">
        <v>6550000</v>
      </c>
      <c r="B63">
        <v>6050</v>
      </c>
      <c r="C63">
        <v>4</v>
      </c>
      <c r="D63">
        <v>2</v>
      </c>
      <c r="E63">
        <v>2</v>
      </c>
      <c r="F63">
        <v>1</v>
      </c>
      <c r="G63">
        <v>1</v>
      </c>
      <c r="H63">
        <v>0</v>
      </c>
      <c r="I63">
        <v>0</v>
      </c>
      <c r="J63">
        <v>1</v>
      </c>
      <c r="K63">
        <v>2</v>
      </c>
      <c r="L63">
        <v>1</v>
      </c>
      <c r="M63">
        <v>1</v>
      </c>
      <c r="N63">
        <v>0</v>
      </c>
    </row>
    <row r="64" spans="1:14">
      <c r="A64">
        <v>5750000</v>
      </c>
      <c r="B64">
        <v>5450</v>
      </c>
      <c r="C64">
        <v>4</v>
      </c>
      <c r="D64">
        <v>2</v>
      </c>
      <c r="E64">
        <v>2</v>
      </c>
      <c r="F64">
        <v>1</v>
      </c>
      <c r="G64">
        <v>0</v>
      </c>
      <c r="H64">
        <v>1</v>
      </c>
      <c r="I64">
        <v>0</v>
      </c>
      <c r="J64">
        <v>1</v>
      </c>
      <c r="K64">
        <v>2</v>
      </c>
      <c r="L64">
        <v>0</v>
      </c>
      <c r="M64">
        <v>0</v>
      </c>
      <c r="N64">
        <v>1</v>
      </c>
    </row>
    <row r="65" spans="1:14">
      <c r="A65">
        <v>4850000</v>
      </c>
      <c r="B65">
        <v>4450</v>
      </c>
      <c r="C65">
        <v>3</v>
      </c>
      <c r="D65">
        <v>2</v>
      </c>
      <c r="E65">
        <v>2</v>
      </c>
      <c r="F65">
        <v>1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>
        <v>1</v>
      </c>
    </row>
    <row r="66" spans="1:14">
      <c r="A66">
        <v>7350000</v>
      </c>
      <c r="B66">
        <v>6700</v>
      </c>
      <c r="C66">
        <v>5</v>
      </c>
      <c r="D66">
        <v>3</v>
      </c>
      <c r="E66">
        <v>3</v>
      </c>
      <c r="F66">
        <v>1</v>
      </c>
      <c r="G66">
        <v>1</v>
      </c>
      <c r="H66">
        <v>1</v>
      </c>
      <c r="I66">
        <v>0</v>
      </c>
      <c r="J66">
        <v>1</v>
      </c>
      <c r="K66">
        <v>3</v>
      </c>
      <c r="L66">
        <v>1</v>
      </c>
      <c r="M66">
        <v>1</v>
      </c>
      <c r="N66">
        <v>0</v>
      </c>
    </row>
    <row r="67" spans="1:14">
      <c r="A67">
        <v>4150000</v>
      </c>
      <c r="B67">
        <v>3850</v>
      </c>
      <c r="C67">
        <v>3</v>
      </c>
      <c r="D67">
        <v>2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</row>
    <row r="68" spans="1:14">
      <c r="A68">
        <v>6850000</v>
      </c>
      <c r="B68">
        <v>6250</v>
      </c>
      <c r="C68">
        <v>4</v>
      </c>
      <c r="D68">
        <v>3</v>
      </c>
      <c r="E68">
        <v>2</v>
      </c>
      <c r="F68">
        <v>1</v>
      </c>
      <c r="G68">
        <v>1</v>
      </c>
      <c r="H68">
        <v>0</v>
      </c>
      <c r="I68">
        <v>0</v>
      </c>
      <c r="J68">
        <v>1</v>
      </c>
      <c r="K68">
        <v>2</v>
      </c>
      <c r="L68">
        <v>1</v>
      </c>
      <c r="M68">
        <v>1</v>
      </c>
      <c r="N68">
        <v>0</v>
      </c>
    </row>
    <row r="69" spans="1:14">
      <c r="A69">
        <v>5550000</v>
      </c>
      <c r="B69">
        <v>5250</v>
      </c>
      <c r="C69">
        <v>3</v>
      </c>
      <c r="D69">
        <v>2</v>
      </c>
      <c r="E69">
        <v>2</v>
      </c>
      <c r="F69">
        <v>1</v>
      </c>
      <c r="G69">
        <v>0</v>
      </c>
      <c r="H69">
        <v>1</v>
      </c>
      <c r="I69">
        <v>0</v>
      </c>
      <c r="J69">
        <v>1</v>
      </c>
      <c r="K69">
        <v>2</v>
      </c>
      <c r="L69">
        <v>0</v>
      </c>
      <c r="M69">
        <v>0</v>
      </c>
      <c r="N69">
        <v>1</v>
      </c>
    </row>
    <row r="70" spans="1:14">
      <c r="A70">
        <v>3450000</v>
      </c>
      <c r="B70">
        <v>2950</v>
      </c>
      <c r="C70">
        <v>2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</row>
    <row r="71" spans="1:14">
      <c r="A71">
        <v>8250000</v>
      </c>
      <c r="B71">
        <v>7600</v>
      </c>
      <c r="C71">
        <v>5</v>
      </c>
      <c r="D71">
        <v>4</v>
      </c>
      <c r="E71">
        <v>3</v>
      </c>
      <c r="F71">
        <v>1</v>
      </c>
      <c r="G71">
        <v>1</v>
      </c>
      <c r="H71">
        <v>1</v>
      </c>
      <c r="I71">
        <v>0</v>
      </c>
      <c r="J71">
        <v>1</v>
      </c>
      <c r="K71">
        <v>3</v>
      </c>
      <c r="L71">
        <v>1</v>
      </c>
      <c r="M71">
        <v>1</v>
      </c>
      <c r="N71">
        <v>0</v>
      </c>
    </row>
    <row r="72" spans="1:14">
      <c r="A72" t="s">
        <v>28</v>
      </c>
    </row>
    <row r="73" spans="1:14">
      <c r="A73" t="s">
        <v>28</v>
      </c>
    </row>
    <row r="74" spans="1:14">
      <c r="A74" t="s">
        <v>28</v>
      </c>
    </row>
    <row r="75" spans="1:14">
      <c r="A75" t="s">
        <v>28</v>
      </c>
    </row>
    <row r="76" spans="1:14">
      <c r="A76" t="s">
        <v>28</v>
      </c>
    </row>
    <row r="77" spans="1:14">
      <c r="A77">
        <v>4700000</v>
      </c>
      <c r="B77">
        <v>4250</v>
      </c>
      <c r="C77">
        <v>3</v>
      </c>
      <c r="D77">
        <v>2</v>
      </c>
      <c r="E77">
        <v>2</v>
      </c>
      <c r="F77">
        <v>1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0</v>
      </c>
      <c r="N77">
        <v>1</v>
      </c>
    </row>
    <row r="78" spans="1:14">
      <c r="A78">
        <v>6050000</v>
      </c>
      <c r="B78">
        <v>5750</v>
      </c>
      <c r="C78">
        <v>4</v>
      </c>
      <c r="D78">
        <v>3</v>
      </c>
      <c r="E78">
        <v>2</v>
      </c>
      <c r="F78">
        <v>1</v>
      </c>
      <c r="G78">
        <v>1</v>
      </c>
      <c r="H78">
        <v>0</v>
      </c>
      <c r="I78">
        <v>0</v>
      </c>
      <c r="J78">
        <v>1</v>
      </c>
      <c r="K78">
        <v>2</v>
      </c>
      <c r="L78">
        <v>1</v>
      </c>
      <c r="M78">
        <v>1</v>
      </c>
      <c r="N78">
        <v>0</v>
      </c>
    </row>
    <row r="79" spans="1:14">
      <c r="A79">
        <v>5100000</v>
      </c>
      <c r="B79">
        <v>4850</v>
      </c>
      <c r="C79">
        <v>3</v>
      </c>
      <c r="D79">
        <v>2</v>
      </c>
      <c r="E79">
        <v>2</v>
      </c>
      <c r="F79">
        <v>1</v>
      </c>
      <c r="G79">
        <v>0</v>
      </c>
      <c r="H79">
        <v>1</v>
      </c>
      <c r="I79">
        <v>0</v>
      </c>
      <c r="J79">
        <v>1</v>
      </c>
      <c r="K79">
        <v>2</v>
      </c>
      <c r="L79">
        <v>0</v>
      </c>
      <c r="M79">
        <v>0</v>
      </c>
      <c r="N79">
        <v>1</v>
      </c>
    </row>
    <row r="80" spans="1:14">
      <c r="A80">
        <v>3950000</v>
      </c>
      <c r="B80">
        <v>3350</v>
      </c>
      <c r="C80">
        <v>2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</row>
    <row r="81" spans="1:14">
      <c r="A81">
        <v>7600000</v>
      </c>
      <c r="B81">
        <v>6950</v>
      </c>
      <c r="C81">
        <v>5</v>
      </c>
      <c r="D81">
        <v>3</v>
      </c>
      <c r="E81">
        <v>3</v>
      </c>
      <c r="F81">
        <v>1</v>
      </c>
      <c r="G81">
        <v>1</v>
      </c>
      <c r="H81">
        <v>1</v>
      </c>
      <c r="I81">
        <v>0</v>
      </c>
      <c r="J81">
        <v>1</v>
      </c>
      <c r="K81">
        <v>3</v>
      </c>
      <c r="L81">
        <v>1</v>
      </c>
      <c r="M81">
        <v>1</v>
      </c>
      <c r="N81">
        <v>0</v>
      </c>
    </row>
    <row r="82" spans="1:14">
      <c r="A82">
        <v>4800000</v>
      </c>
      <c r="B82">
        <v>4450</v>
      </c>
      <c r="C82">
        <v>3</v>
      </c>
      <c r="D82">
        <v>2</v>
      </c>
      <c r="E82">
        <v>2</v>
      </c>
      <c r="F82">
        <v>1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0</v>
      </c>
      <c r="N82">
        <v>1</v>
      </c>
    </row>
    <row r="83" spans="1:14">
      <c r="A83">
        <v>5700000</v>
      </c>
      <c r="B83">
        <v>5350</v>
      </c>
      <c r="C83">
        <v>4</v>
      </c>
      <c r="D83">
        <v>2</v>
      </c>
      <c r="E83">
        <v>2</v>
      </c>
      <c r="F83">
        <v>1</v>
      </c>
      <c r="G83">
        <v>1</v>
      </c>
      <c r="H83">
        <v>0</v>
      </c>
      <c r="I83">
        <v>0</v>
      </c>
      <c r="J83">
        <v>1</v>
      </c>
      <c r="K83">
        <v>2</v>
      </c>
      <c r="L83">
        <v>1</v>
      </c>
      <c r="M83">
        <v>1</v>
      </c>
      <c r="N83">
        <v>0</v>
      </c>
    </row>
    <row r="84" spans="1:14">
      <c r="A84">
        <v>3600000</v>
      </c>
      <c r="B84">
        <v>3100</v>
      </c>
      <c r="C84">
        <v>2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</row>
    <row r="85" spans="1:14">
      <c r="A85">
        <v>6900000</v>
      </c>
      <c r="B85">
        <v>6300</v>
      </c>
      <c r="C85">
        <v>4</v>
      </c>
      <c r="D85">
        <v>3</v>
      </c>
      <c r="E85">
        <v>3</v>
      </c>
      <c r="F85">
        <v>1</v>
      </c>
      <c r="G85">
        <v>1</v>
      </c>
      <c r="H85">
        <v>1</v>
      </c>
      <c r="I85">
        <v>0</v>
      </c>
      <c r="J85">
        <v>1</v>
      </c>
      <c r="K85">
        <v>3</v>
      </c>
      <c r="L85">
        <v>1</v>
      </c>
      <c r="M85">
        <v>1</v>
      </c>
      <c r="N85">
        <v>0</v>
      </c>
    </row>
    <row r="86" spans="1:14">
      <c r="A86">
        <v>5100000</v>
      </c>
      <c r="B86">
        <v>4750</v>
      </c>
      <c r="C86">
        <v>3</v>
      </c>
      <c r="D86">
        <v>2</v>
      </c>
      <c r="E86">
        <v>2</v>
      </c>
      <c r="F86">
        <v>1</v>
      </c>
      <c r="G86">
        <v>0</v>
      </c>
      <c r="H86">
        <v>1</v>
      </c>
      <c r="I86">
        <v>0</v>
      </c>
      <c r="J86">
        <v>1</v>
      </c>
      <c r="K86">
        <v>2</v>
      </c>
      <c r="L86">
        <v>0</v>
      </c>
      <c r="M86">
        <v>0</v>
      </c>
      <c r="N86">
        <v>1</v>
      </c>
    </row>
    <row r="87" spans="1:14">
      <c r="A87">
        <v>7400000</v>
      </c>
      <c r="B87">
        <v>6750</v>
      </c>
      <c r="C87">
        <v>5</v>
      </c>
      <c r="D87">
        <v>3</v>
      </c>
      <c r="E87">
        <v>3</v>
      </c>
      <c r="F87">
        <v>1</v>
      </c>
      <c r="G87">
        <v>1</v>
      </c>
      <c r="H87">
        <v>0</v>
      </c>
      <c r="I87">
        <v>0</v>
      </c>
      <c r="J87">
        <v>1</v>
      </c>
      <c r="K87">
        <v>3</v>
      </c>
      <c r="L87">
        <v>1</v>
      </c>
      <c r="M87">
        <v>1</v>
      </c>
      <c r="N87">
        <v>0</v>
      </c>
    </row>
    <row r="88" spans="1:14">
      <c r="A88">
        <v>4300000</v>
      </c>
      <c r="B88">
        <v>3950</v>
      </c>
      <c r="C88">
        <v>3</v>
      </c>
      <c r="D88">
        <v>2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</row>
    <row r="89" spans="1:14">
      <c r="A89">
        <v>3850000</v>
      </c>
      <c r="B89">
        <v>3400</v>
      </c>
      <c r="C89">
        <v>2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</row>
    <row r="90" spans="1:14">
      <c r="A90">
        <v>7900000</v>
      </c>
      <c r="B90">
        <v>7300</v>
      </c>
      <c r="C90">
        <v>5</v>
      </c>
      <c r="D90">
        <v>4</v>
      </c>
      <c r="E90">
        <v>3</v>
      </c>
      <c r="F90">
        <v>1</v>
      </c>
      <c r="G90">
        <v>1</v>
      </c>
      <c r="H90">
        <v>1</v>
      </c>
      <c r="I90">
        <v>0</v>
      </c>
      <c r="J90">
        <v>1</v>
      </c>
      <c r="K90">
        <v>3</v>
      </c>
      <c r="L90">
        <v>1</v>
      </c>
      <c r="M90">
        <v>1</v>
      </c>
      <c r="N90">
        <v>0</v>
      </c>
    </row>
    <row r="91" spans="1:14">
      <c r="A91">
        <v>5300000</v>
      </c>
      <c r="B91">
        <v>4900</v>
      </c>
      <c r="C91">
        <v>3</v>
      </c>
      <c r="D91">
        <v>2</v>
      </c>
      <c r="E91">
        <v>2</v>
      </c>
      <c r="F91">
        <v>1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0</v>
      </c>
      <c r="N91">
        <v>1</v>
      </c>
    </row>
    <row r="92" spans="1:14">
      <c r="A92">
        <v>4550000</v>
      </c>
      <c r="B92">
        <v>4200</v>
      </c>
      <c r="C92">
        <v>3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1</v>
      </c>
    </row>
    <row r="93" spans="1:14">
      <c r="A93">
        <v>6200000</v>
      </c>
      <c r="B93">
        <v>5850</v>
      </c>
      <c r="C93">
        <v>4</v>
      </c>
      <c r="D93">
        <v>3</v>
      </c>
      <c r="E93">
        <v>2</v>
      </c>
      <c r="F93">
        <v>1</v>
      </c>
      <c r="G93">
        <v>1</v>
      </c>
      <c r="H93">
        <v>0</v>
      </c>
      <c r="I93">
        <v>0</v>
      </c>
      <c r="J93">
        <v>1</v>
      </c>
      <c r="K93">
        <v>2</v>
      </c>
      <c r="L93">
        <v>1</v>
      </c>
      <c r="M93">
        <v>1</v>
      </c>
      <c r="N93">
        <v>0</v>
      </c>
    </row>
    <row r="94" spans="1:14">
      <c r="A94">
        <v>5500000</v>
      </c>
      <c r="B94">
        <v>5150</v>
      </c>
      <c r="C94">
        <v>3</v>
      </c>
      <c r="D94">
        <v>2</v>
      </c>
      <c r="E94">
        <v>2</v>
      </c>
      <c r="F94">
        <v>1</v>
      </c>
      <c r="G94">
        <v>0</v>
      </c>
      <c r="H94">
        <v>1</v>
      </c>
      <c r="I94">
        <v>0</v>
      </c>
      <c r="J94">
        <v>1</v>
      </c>
      <c r="K94">
        <v>2</v>
      </c>
      <c r="L94">
        <v>0</v>
      </c>
      <c r="M94">
        <v>0</v>
      </c>
      <c r="N94">
        <v>1</v>
      </c>
    </row>
    <row r="95" spans="1:14">
      <c r="A95">
        <v>4700000</v>
      </c>
      <c r="B95">
        <v>4350</v>
      </c>
      <c r="C95">
        <v>3</v>
      </c>
      <c r="D95">
        <v>2</v>
      </c>
      <c r="E95">
        <v>2</v>
      </c>
      <c r="F95">
        <v>1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1</v>
      </c>
    </row>
    <row r="96" spans="1:14">
      <c r="A96">
        <v>7150000</v>
      </c>
      <c r="B96">
        <v>6500</v>
      </c>
      <c r="C96">
        <v>5</v>
      </c>
      <c r="D96">
        <v>3</v>
      </c>
      <c r="E96">
        <v>3</v>
      </c>
      <c r="F96">
        <v>1</v>
      </c>
      <c r="G96">
        <v>1</v>
      </c>
      <c r="H96">
        <v>1</v>
      </c>
      <c r="I96">
        <v>0</v>
      </c>
      <c r="J96">
        <v>1</v>
      </c>
      <c r="K96">
        <v>3</v>
      </c>
      <c r="L96">
        <v>1</v>
      </c>
      <c r="M96">
        <v>1</v>
      </c>
      <c r="N96">
        <v>0</v>
      </c>
    </row>
    <row r="97" spans="1:14">
      <c r="A97">
        <v>4050000</v>
      </c>
      <c r="B97">
        <v>3700</v>
      </c>
      <c r="C97">
        <v>3</v>
      </c>
      <c r="D97">
        <v>2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</row>
    <row r="98" spans="1:14">
      <c r="A98">
        <v>6650000</v>
      </c>
      <c r="B98">
        <v>6150</v>
      </c>
      <c r="C98">
        <v>4</v>
      </c>
      <c r="D98">
        <v>3</v>
      </c>
      <c r="E98">
        <v>2</v>
      </c>
      <c r="F98">
        <v>1</v>
      </c>
      <c r="G98">
        <v>1</v>
      </c>
      <c r="H98">
        <v>0</v>
      </c>
      <c r="I98">
        <v>0</v>
      </c>
      <c r="J98">
        <v>1</v>
      </c>
      <c r="K98">
        <v>2</v>
      </c>
      <c r="L98">
        <v>1</v>
      </c>
      <c r="M98">
        <v>1</v>
      </c>
      <c r="N98">
        <v>0</v>
      </c>
    </row>
    <row r="99" spans="1:14">
      <c r="A99">
        <v>5850000</v>
      </c>
      <c r="B99">
        <v>5450</v>
      </c>
      <c r="C99">
        <v>4</v>
      </c>
      <c r="D99">
        <v>2</v>
      </c>
      <c r="E99">
        <v>2</v>
      </c>
      <c r="F99">
        <v>1</v>
      </c>
      <c r="G99">
        <v>0</v>
      </c>
      <c r="H99">
        <v>1</v>
      </c>
      <c r="I99">
        <v>0</v>
      </c>
      <c r="J99">
        <v>1</v>
      </c>
      <c r="K99">
        <v>2</v>
      </c>
      <c r="L99">
        <v>0</v>
      </c>
      <c r="M99">
        <v>0</v>
      </c>
      <c r="N99">
        <v>1</v>
      </c>
    </row>
    <row r="100" spans="1:14">
      <c r="A100">
        <v>3500000</v>
      </c>
      <c r="B100">
        <v>3000</v>
      </c>
      <c r="C100">
        <v>2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>
        <v>8450000</v>
      </c>
      <c r="B101">
        <v>7800</v>
      </c>
      <c r="C101">
        <v>5</v>
      </c>
      <c r="D101">
        <v>4</v>
      </c>
      <c r="E101">
        <v>3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3</v>
      </c>
      <c r="L101">
        <v>1</v>
      </c>
      <c r="M101">
        <v>1</v>
      </c>
      <c r="N101">
        <v>0</v>
      </c>
    </row>
    <row r="102" spans="1:14">
      <c r="A102" t="s">
        <v>28</v>
      </c>
    </row>
    <row r="103" spans="1:14">
      <c r="A103" t="s">
        <v>28</v>
      </c>
    </row>
    <row r="104" spans="1:14">
      <c r="A104" t="s">
        <v>28</v>
      </c>
    </row>
    <row r="105" spans="1:14">
      <c r="A105" t="s">
        <v>28</v>
      </c>
    </row>
    <row r="106" spans="1:14">
      <c r="A106" t="s">
        <v>28</v>
      </c>
    </row>
    <row r="107" spans="1:14">
      <c r="A107">
        <v>4950000</v>
      </c>
      <c r="B107">
        <v>4550</v>
      </c>
      <c r="C107">
        <v>3</v>
      </c>
      <c r="D107">
        <v>2</v>
      </c>
      <c r="E107">
        <v>2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0</v>
      </c>
      <c r="M107">
        <v>0</v>
      </c>
      <c r="N107">
        <v>1</v>
      </c>
    </row>
    <row r="108" spans="1:14">
      <c r="A108">
        <v>6400000</v>
      </c>
      <c r="B108">
        <v>6000</v>
      </c>
      <c r="C108">
        <v>4</v>
      </c>
      <c r="D108">
        <v>3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2</v>
      </c>
      <c r="L108">
        <v>1</v>
      </c>
      <c r="M108">
        <v>1</v>
      </c>
      <c r="N108">
        <v>0</v>
      </c>
    </row>
    <row r="109" spans="1:14">
      <c r="A109">
        <v>5200000</v>
      </c>
      <c r="B109">
        <v>4850</v>
      </c>
      <c r="C109">
        <v>3</v>
      </c>
      <c r="D109">
        <v>2</v>
      </c>
      <c r="E109">
        <v>2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2</v>
      </c>
      <c r="L109">
        <v>0</v>
      </c>
      <c r="M109">
        <v>0</v>
      </c>
      <c r="N109">
        <v>1</v>
      </c>
    </row>
    <row r="110" spans="1:14">
      <c r="A110">
        <v>4100000</v>
      </c>
      <c r="B110">
        <v>3550</v>
      </c>
      <c r="C110">
        <v>2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>
        <v>7700000</v>
      </c>
      <c r="B111">
        <v>7050</v>
      </c>
      <c r="C111">
        <v>5</v>
      </c>
      <c r="D111">
        <v>3</v>
      </c>
      <c r="E111">
        <v>3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3</v>
      </c>
      <c r="L111">
        <v>1</v>
      </c>
      <c r="M111">
        <v>1</v>
      </c>
      <c r="N111">
        <v>0</v>
      </c>
    </row>
    <row r="112" spans="1:14">
      <c r="A112">
        <v>5050000</v>
      </c>
      <c r="B112">
        <v>4650</v>
      </c>
      <c r="C112">
        <v>3</v>
      </c>
      <c r="D112">
        <v>2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0</v>
      </c>
      <c r="N112">
        <v>1</v>
      </c>
    </row>
    <row r="113" spans="1:14">
      <c r="A113">
        <v>5950000</v>
      </c>
      <c r="B113">
        <v>5550</v>
      </c>
      <c r="C113">
        <v>4</v>
      </c>
      <c r="D113">
        <v>3</v>
      </c>
      <c r="E113">
        <v>2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2</v>
      </c>
      <c r="L113">
        <v>1</v>
      </c>
      <c r="M113">
        <v>1</v>
      </c>
      <c r="N113">
        <v>0</v>
      </c>
    </row>
    <row r="114" spans="1:14">
      <c r="A114">
        <v>3750000</v>
      </c>
      <c r="B114">
        <v>3300</v>
      </c>
      <c r="C114">
        <v>2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>
        <v>7150000</v>
      </c>
      <c r="B115">
        <v>6500</v>
      </c>
      <c r="C115">
        <v>5</v>
      </c>
      <c r="D115">
        <v>3</v>
      </c>
      <c r="E115">
        <v>3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3</v>
      </c>
      <c r="L115">
        <v>1</v>
      </c>
      <c r="M115">
        <v>1</v>
      </c>
      <c r="N115">
        <v>0</v>
      </c>
    </row>
    <row r="116" spans="1:14">
      <c r="A116">
        <v>4850000</v>
      </c>
      <c r="B116">
        <v>4450</v>
      </c>
      <c r="C116">
        <v>3</v>
      </c>
      <c r="D116">
        <v>2</v>
      </c>
      <c r="E116">
        <v>2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1</v>
      </c>
    </row>
    <row r="117" spans="1:14">
      <c r="A117">
        <v>6650000</v>
      </c>
      <c r="B117">
        <v>6150</v>
      </c>
      <c r="C117">
        <v>4</v>
      </c>
      <c r="D117">
        <v>3</v>
      </c>
      <c r="E117">
        <v>2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2</v>
      </c>
      <c r="L117">
        <v>1</v>
      </c>
      <c r="M117">
        <v>1</v>
      </c>
      <c r="N117">
        <v>0</v>
      </c>
    </row>
    <row r="118" spans="1:14">
      <c r="A118">
        <v>4550000</v>
      </c>
      <c r="B118">
        <v>4250</v>
      </c>
      <c r="C118">
        <v>3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</row>
    <row r="119" spans="1:14">
      <c r="A119">
        <v>3500000</v>
      </c>
      <c r="B119">
        <v>2950</v>
      </c>
      <c r="C119">
        <v>2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</row>
    <row r="120" spans="1:14">
      <c r="A120">
        <v>8350000</v>
      </c>
      <c r="B120">
        <v>7600</v>
      </c>
      <c r="C120">
        <v>5</v>
      </c>
      <c r="D120">
        <v>4</v>
      </c>
      <c r="E120">
        <v>3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3</v>
      </c>
      <c r="L120">
        <v>1</v>
      </c>
      <c r="M120">
        <v>1</v>
      </c>
      <c r="N120">
        <v>0</v>
      </c>
    </row>
    <row r="121" spans="1:14">
      <c r="A121">
        <v>5400000</v>
      </c>
      <c r="B121">
        <v>5050</v>
      </c>
      <c r="C121">
        <v>3</v>
      </c>
      <c r="D121">
        <v>2</v>
      </c>
      <c r="E121">
        <v>2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0</v>
      </c>
      <c r="N121">
        <v>1</v>
      </c>
    </row>
    <row r="122" spans="1:14">
      <c r="A122">
        <v>4250000</v>
      </c>
      <c r="B122">
        <v>3900</v>
      </c>
      <c r="C122">
        <v>3</v>
      </c>
      <c r="D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>
        <v>6450000</v>
      </c>
      <c r="B123">
        <v>5950</v>
      </c>
      <c r="C123">
        <v>4</v>
      </c>
      <c r="D123">
        <v>3</v>
      </c>
      <c r="E123">
        <v>2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2</v>
      </c>
      <c r="L123">
        <v>1</v>
      </c>
      <c r="M123">
        <v>1</v>
      </c>
      <c r="N123">
        <v>0</v>
      </c>
    </row>
    <row r="124" spans="1:14">
      <c r="A124">
        <v>5600000</v>
      </c>
      <c r="B124">
        <v>5250</v>
      </c>
      <c r="C124">
        <v>4</v>
      </c>
      <c r="D124">
        <v>2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2</v>
      </c>
      <c r="L124">
        <v>0</v>
      </c>
      <c r="M124">
        <v>0</v>
      </c>
      <c r="N124">
        <v>1</v>
      </c>
    </row>
    <row r="125" spans="1:14">
      <c r="A125">
        <v>4750000</v>
      </c>
      <c r="B125">
        <v>4400</v>
      </c>
      <c r="C125">
        <v>3</v>
      </c>
      <c r="D125">
        <v>2</v>
      </c>
      <c r="E125">
        <v>2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1</v>
      </c>
    </row>
    <row r="126" spans="1:14">
      <c r="A126">
        <v>7450000</v>
      </c>
      <c r="B126">
        <v>6800</v>
      </c>
      <c r="C126">
        <v>5</v>
      </c>
      <c r="D126">
        <v>3</v>
      </c>
      <c r="E126">
        <v>3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3</v>
      </c>
      <c r="L126">
        <v>1</v>
      </c>
      <c r="M126">
        <v>1</v>
      </c>
      <c r="N126">
        <v>0</v>
      </c>
    </row>
    <row r="127" spans="1:14">
      <c r="A127">
        <v>4050000</v>
      </c>
      <c r="B127">
        <v>3650</v>
      </c>
      <c r="C127">
        <v>3</v>
      </c>
      <c r="D127">
        <v>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</row>
    <row r="128" spans="1:14">
      <c r="A128">
        <v>6850000</v>
      </c>
      <c r="B128">
        <v>6250</v>
      </c>
      <c r="C128">
        <v>4</v>
      </c>
      <c r="D128">
        <v>3</v>
      </c>
      <c r="E128">
        <v>2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2</v>
      </c>
      <c r="L128">
        <v>1</v>
      </c>
      <c r="M128">
        <v>1</v>
      </c>
      <c r="N128">
        <v>0</v>
      </c>
    </row>
    <row r="129" spans="1:14">
      <c r="A129">
        <v>5750000</v>
      </c>
      <c r="B129">
        <v>5400</v>
      </c>
      <c r="C129">
        <v>4</v>
      </c>
      <c r="D129">
        <v>2</v>
      </c>
      <c r="E129">
        <v>2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2</v>
      </c>
      <c r="L129">
        <v>0</v>
      </c>
      <c r="M129">
        <v>0</v>
      </c>
      <c r="N129">
        <v>1</v>
      </c>
    </row>
    <row r="130" spans="1:14">
      <c r="A130">
        <v>3650000</v>
      </c>
      <c r="B130">
        <v>3150</v>
      </c>
      <c r="C130">
        <v>2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>
      <c r="A131">
        <v>8600000</v>
      </c>
      <c r="B131">
        <v>7900</v>
      </c>
      <c r="C131">
        <v>5</v>
      </c>
      <c r="D131">
        <v>4</v>
      </c>
      <c r="E131">
        <v>3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3</v>
      </c>
      <c r="L131">
        <v>1</v>
      </c>
      <c r="M131">
        <v>1</v>
      </c>
      <c r="N131">
        <v>0</v>
      </c>
    </row>
    <row r="132" spans="1:14">
      <c r="A132" t="s">
        <v>28</v>
      </c>
    </row>
    <row r="133" spans="1:14">
      <c r="A133" t="s">
        <v>28</v>
      </c>
    </row>
    <row r="134" spans="1:14">
      <c r="A134" t="s">
        <v>28</v>
      </c>
    </row>
    <row r="135" spans="1:14">
      <c r="A135" t="s">
        <v>28</v>
      </c>
    </row>
    <row r="136" spans="1:14">
      <c r="A136" t="s">
        <v>28</v>
      </c>
    </row>
    <row r="137" spans="1:14">
      <c r="A137">
        <v>5150000</v>
      </c>
      <c r="B137">
        <v>4700</v>
      </c>
      <c r="C137">
        <v>3</v>
      </c>
      <c r="D137">
        <v>2</v>
      </c>
      <c r="E137">
        <v>2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0</v>
      </c>
      <c r="N137">
        <v>1</v>
      </c>
    </row>
    <row r="138" spans="1:14">
      <c r="A138">
        <v>6050000</v>
      </c>
      <c r="B138">
        <v>5650</v>
      </c>
      <c r="C138">
        <v>4</v>
      </c>
      <c r="D138">
        <v>3</v>
      </c>
      <c r="E138">
        <v>2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2</v>
      </c>
      <c r="L138">
        <v>1</v>
      </c>
      <c r="M138">
        <v>1</v>
      </c>
      <c r="N138">
        <v>0</v>
      </c>
    </row>
    <row r="139" spans="1:14">
      <c r="A139">
        <v>4450000</v>
      </c>
      <c r="B139">
        <v>4100</v>
      </c>
      <c r="C139">
        <v>3</v>
      </c>
      <c r="D139">
        <v>2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</row>
    <row r="140" spans="1:14">
      <c r="A140">
        <v>7850000</v>
      </c>
      <c r="B140">
        <v>7150</v>
      </c>
      <c r="C140">
        <v>5</v>
      </c>
      <c r="D140">
        <v>3</v>
      </c>
      <c r="E140">
        <v>3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3</v>
      </c>
      <c r="L140">
        <v>1</v>
      </c>
      <c r="M140">
        <v>1</v>
      </c>
      <c r="N140">
        <v>0</v>
      </c>
    </row>
    <row r="141" spans="1:14">
      <c r="A141">
        <v>5550000</v>
      </c>
      <c r="B141">
        <v>5150</v>
      </c>
      <c r="C141">
        <v>4</v>
      </c>
      <c r="D141">
        <v>2</v>
      </c>
      <c r="E141">
        <v>2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2</v>
      </c>
      <c r="L141">
        <v>0</v>
      </c>
      <c r="M141">
        <v>0</v>
      </c>
      <c r="N141">
        <v>1</v>
      </c>
    </row>
    <row r="142" spans="1:14">
      <c r="A142">
        <v>4950000</v>
      </c>
      <c r="B142">
        <v>4550</v>
      </c>
      <c r="C142">
        <v>3</v>
      </c>
      <c r="D142">
        <v>2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0</v>
      </c>
      <c r="N142">
        <v>1</v>
      </c>
    </row>
    <row r="143" spans="1:14">
      <c r="A143">
        <v>5750000</v>
      </c>
      <c r="B143">
        <v>5400</v>
      </c>
      <c r="C143">
        <v>4</v>
      </c>
      <c r="D143">
        <v>2</v>
      </c>
      <c r="E143">
        <v>2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1</v>
      </c>
      <c r="N143">
        <v>0</v>
      </c>
    </row>
    <row r="144" spans="1:14">
      <c r="A144">
        <v>3650000</v>
      </c>
      <c r="B144">
        <v>3200</v>
      </c>
      <c r="C144">
        <v>2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</row>
    <row r="145" spans="1:14">
      <c r="A145">
        <v>7050000</v>
      </c>
      <c r="B145">
        <v>6450</v>
      </c>
      <c r="C145">
        <v>5</v>
      </c>
      <c r="D145">
        <v>3</v>
      </c>
      <c r="E145">
        <v>3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3</v>
      </c>
      <c r="L145">
        <v>1</v>
      </c>
      <c r="M145">
        <v>1</v>
      </c>
      <c r="N145">
        <v>0</v>
      </c>
    </row>
    <row r="146" spans="1:14">
      <c r="A146">
        <v>5150000</v>
      </c>
      <c r="B146">
        <v>4800</v>
      </c>
      <c r="C146">
        <v>3</v>
      </c>
      <c r="D146">
        <v>2</v>
      </c>
      <c r="E146">
        <v>2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2</v>
      </c>
      <c r="L146">
        <v>0</v>
      </c>
      <c r="M146">
        <v>0</v>
      </c>
      <c r="N146">
        <v>1</v>
      </c>
    </row>
    <row r="147" spans="1:14">
      <c r="A147">
        <v>6550000</v>
      </c>
      <c r="B147">
        <v>6050</v>
      </c>
      <c r="C147">
        <v>4</v>
      </c>
      <c r="D147">
        <v>3</v>
      </c>
      <c r="E147">
        <v>2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2</v>
      </c>
      <c r="L147">
        <v>1</v>
      </c>
      <c r="M147">
        <v>1</v>
      </c>
      <c r="N147">
        <v>0</v>
      </c>
    </row>
    <row r="148" spans="1:14">
      <c r="A148">
        <v>4450000</v>
      </c>
      <c r="B148">
        <v>4100</v>
      </c>
      <c r="C148">
        <v>3</v>
      </c>
      <c r="D148">
        <v>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0</v>
      </c>
    </row>
    <row r="149" spans="1:14">
      <c r="A149">
        <v>3850000</v>
      </c>
      <c r="B149">
        <v>3450</v>
      </c>
      <c r="C149">
        <v>2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</row>
    <row r="150" spans="1:14">
      <c r="A150">
        <v>8150000</v>
      </c>
      <c r="B150">
        <v>7450</v>
      </c>
      <c r="C150">
        <v>5</v>
      </c>
      <c r="D150">
        <v>4</v>
      </c>
      <c r="E150">
        <v>3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3</v>
      </c>
      <c r="L150">
        <v>1</v>
      </c>
      <c r="M150">
        <v>1</v>
      </c>
      <c r="N150">
        <v>0</v>
      </c>
    </row>
    <row r="151" spans="1:14">
      <c r="A151">
        <v>5350000</v>
      </c>
      <c r="B151">
        <v>5000</v>
      </c>
      <c r="C151">
        <v>3</v>
      </c>
      <c r="D151">
        <v>2</v>
      </c>
      <c r="E151">
        <v>2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0</v>
      </c>
      <c r="M151">
        <v>0</v>
      </c>
      <c r="N151">
        <v>1</v>
      </c>
    </row>
    <row r="152" spans="1:14">
      <c r="A152">
        <v>4250000</v>
      </c>
      <c r="B152">
        <v>3950</v>
      </c>
      <c r="C152">
        <v>3</v>
      </c>
      <c r="D152">
        <v>2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>
      <c r="A153">
        <v>6250000</v>
      </c>
      <c r="B153">
        <v>5800</v>
      </c>
      <c r="C153">
        <v>4</v>
      </c>
      <c r="D153">
        <v>3</v>
      </c>
      <c r="E153">
        <v>2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2</v>
      </c>
      <c r="L153">
        <v>1</v>
      </c>
      <c r="M153">
        <v>1</v>
      </c>
      <c r="N153">
        <v>0</v>
      </c>
    </row>
    <row r="154" spans="1:14">
      <c r="A154">
        <v>5550000</v>
      </c>
      <c r="B154">
        <v>5200</v>
      </c>
      <c r="C154">
        <v>4</v>
      </c>
      <c r="D154">
        <v>2</v>
      </c>
      <c r="E154">
        <v>2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2</v>
      </c>
      <c r="L154">
        <v>0</v>
      </c>
      <c r="M154">
        <v>0</v>
      </c>
      <c r="N154">
        <v>1</v>
      </c>
    </row>
    <row r="155" spans="1:14">
      <c r="A155">
        <v>4650000</v>
      </c>
      <c r="B155">
        <v>4300</v>
      </c>
      <c r="C155">
        <v>3</v>
      </c>
      <c r="D155">
        <v>2</v>
      </c>
      <c r="E155">
        <v>2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0</v>
      </c>
      <c r="M155">
        <v>0</v>
      </c>
      <c r="N155">
        <v>1</v>
      </c>
    </row>
    <row r="156" spans="1:14">
      <c r="A156">
        <v>7350000</v>
      </c>
      <c r="B156">
        <v>6700</v>
      </c>
      <c r="C156">
        <v>5</v>
      </c>
      <c r="D156">
        <v>3</v>
      </c>
      <c r="E156">
        <v>3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3</v>
      </c>
      <c r="L156">
        <v>1</v>
      </c>
      <c r="M156">
        <v>1</v>
      </c>
      <c r="N156">
        <v>0</v>
      </c>
    </row>
    <row r="157" spans="1:14">
      <c r="A157">
        <v>4150000</v>
      </c>
      <c r="B157">
        <v>3750</v>
      </c>
      <c r="C157">
        <v>3</v>
      </c>
      <c r="D157">
        <v>2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</row>
    <row r="158" spans="1:14">
      <c r="A158">
        <v>6750000</v>
      </c>
      <c r="B158">
        <v>6200</v>
      </c>
      <c r="C158">
        <v>4</v>
      </c>
      <c r="D158">
        <v>3</v>
      </c>
      <c r="E158">
        <v>2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2</v>
      </c>
      <c r="L158">
        <v>1</v>
      </c>
      <c r="M158">
        <v>1</v>
      </c>
      <c r="N158">
        <v>0</v>
      </c>
    </row>
    <row r="159" spans="1:14">
      <c r="A159">
        <v>5850000</v>
      </c>
      <c r="B159">
        <v>5500</v>
      </c>
      <c r="C159">
        <v>4</v>
      </c>
      <c r="D159">
        <v>2</v>
      </c>
      <c r="E159">
        <v>2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2</v>
      </c>
      <c r="L159">
        <v>0</v>
      </c>
      <c r="M159">
        <v>0</v>
      </c>
      <c r="N159">
        <v>1</v>
      </c>
    </row>
    <row r="160" spans="1:14">
      <c r="A160">
        <v>3550000</v>
      </c>
      <c r="B160">
        <v>3050</v>
      </c>
      <c r="C160">
        <v>2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</row>
    <row r="161" spans="1:14">
      <c r="A161">
        <v>8450000</v>
      </c>
      <c r="B161">
        <v>7750</v>
      </c>
      <c r="C161">
        <v>5</v>
      </c>
      <c r="D161">
        <v>4</v>
      </c>
      <c r="E161">
        <v>3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3</v>
      </c>
      <c r="L161">
        <v>1</v>
      </c>
      <c r="M161">
        <v>1</v>
      </c>
      <c r="N161">
        <v>0</v>
      </c>
    </row>
    <row r="162" spans="1:14">
      <c r="A162" t="s">
        <v>28</v>
      </c>
    </row>
    <row r="163" spans="1:14">
      <c r="A163" t="s">
        <v>28</v>
      </c>
    </row>
    <row r="164" spans="1:14">
      <c r="A164" t="s">
        <v>28</v>
      </c>
    </row>
    <row r="165" spans="1:14">
      <c r="A165" t="s">
        <v>28</v>
      </c>
    </row>
    <row r="166" spans="1:14">
      <c r="A166" t="s">
        <v>28</v>
      </c>
    </row>
    <row r="167" spans="1:14">
      <c r="A167">
        <v>5050000</v>
      </c>
      <c r="B167">
        <v>4650</v>
      </c>
      <c r="C167">
        <v>3</v>
      </c>
      <c r="D167">
        <v>2</v>
      </c>
      <c r="E167">
        <v>2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0</v>
      </c>
      <c r="N167">
        <v>1</v>
      </c>
    </row>
    <row r="168" spans="1:14">
      <c r="A168">
        <v>6150000</v>
      </c>
      <c r="B168">
        <v>5750</v>
      </c>
      <c r="C168">
        <v>4</v>
      </c>
      <c r="D168">
        <v>3</v>
      </c>
      <c r="E168">
        <v>2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2</v>
      </c>
      <c r="L168">
        <v>1</v>
      </c>
      <c r="M168">
        <v>1</v>
      </c>
      <c r="N168">
        <v>0</v>
      </c>
    </row>
    <row r="169" spans="1:14">
      <c r="A169">
        <v>4550000</v>
      </c>
      <c r="B169">
        <v>4200</v>
      </c>
      <c r="C169">
        <v>3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</row>
    <row r="170" spans="1:14">
      <c r="A170">
        <v>7750000</v>
      </c>
      <c r="B170">
        <v>7050</v>
      </c>
      <c r="C170">
        <v>5</v>
      </c>
      <c r="D170">
        <v>3</v>
      </c>
      <c r="E170">
        <v>3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3</v>
      </c>
      <c r="L170">
        <v>1</v>
      </c>
      <c r="M170">
        <v>1</v>
      </c>
      <c r="N170">
        <v>0</v>
      </c>
    </row>
    <row r="171" spans="1:14">
      <c r="A171">
        <v>5450000</v>
      </c>
      <c r="B171">
        <v>5100</v>
      </c>
      <c r="C171">
        <v>4</v>
      </c>
      <c r="D171">
        <v>2</v>
      </c>
      <c r="E171">
        <v>2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1</v>
      </c>
    </row>
    <row r="172" spans="1:14">
      <c r="A172">
        <v>5150000</v>
      </c>
      <c r="B172">
        <v>4750</v>
      </c>
      <c r="C172">
        <v>3</v>
      </c>
      <c r="D172">
        <v>2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0</v>
      </c>
      <c r="N172">
        <v>1</v>
      </c>
    </row>
    <row r="173" spans="1:14">
      <c r="A173">
        <v>6050000</v>
      </c>
      <c r="B173">
        <v>5650</v>
      </c>
      <c r="C173">
        <v>4</v>
      </c>
      <c r="D173">
        <v>3</v>
      </c>
      <c r="E173">
        <v>2</v>
      </c>
      <c r="F173">
        <v>1</v>
      </c>
      <c r="G173">
        <v>1</v>
      </c>
      <c r="H173">
        <v>0</v>
      </c>
      <c r="I173">
        <v>0</v>
      </c>
      <c r="J173">
        <v>1</v>
      </c>
      <c r="K173">
        <v>2</v>
      </c>
      <c r="L173">
        <v>1</v>
      </c>
      <c r="M173">
        <v>1</v>
      </c>
      <c r="N173">
        <v>0</v>
      </c>
    </row>
    <row r="174" spans="1:14">
      <c r="A174">
        <v>3850000</v>
      </c>
      <c r="B174">
        <v>3350</v>
      </c>
      <c r="C174">
        <v>2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</row>
    <row r="175" spans="1:14">
      <c r="A175">
        <v>7250000</v>
      </c>
      <c r="B175">
        <v>6600</v>
      </c>
      <c r="C175">
        <v>5</v>
      </c>
      <c r="D175">
        <v>3</v>
      </c>
      <c r="E175">
        <v>3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3</v>
      </c>
      <c r="L175">
        <v>1</v>
      </c>
      <c r="M175">
        <v>1</v>
      </c>
      <c r="N175">
        <v>0</v>
      </c>
    </row>
    <row r="176" spans="1:14">
      <c r="A176">
        <v>4950000</v>
      </c>
      <c r="B176">
        <v>4550</v>
      </c>
      <c r="C176">
        <v>3</v>
      </c>
      <c r="D176">
        <v>2</v>
      </c>
      <c r="E176">
        <v>2</v>
      </c>
      <c r="F176">
        <v>1</v>
      </c>
      <c r="G176">
        <v>0</v>
      </c>
      <c r="H176">
        <v>1</v>
      </c>
      <c r="I176">
        <v>0</v>
      </c>
      <c r="J176">
        <v>1</v>
      </c>
      <c r="K176">
        <v>2</v>
      </c>
      <c r="L176">
        <v>0</v>
      </c>
      <c r="M176">
        <v>0</v>
      </c>
      <c r="N176">
        <v>1</v>
      </c>
    </row>
    <row r="177" spans="1:14">
      <c r="A177">
        <v>6750000</v>
      </c>
      <c r="B177">
        <v>6200</v>
      </c>
      <c r="C177">
        <v>4</v>
      </c>
      <c r="D177">
        <v>3</v>
      </c>
      <c r="E177">
        <v>2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2</v>
      </c>
      <c r="L177">
        <v>1</v>
      </c>
      <c r="M177">
        <v>1</v>
      </c>
      <c r="N177">
        <v>0</v>
      </c>
    </row>
    <row r="178" spans="1:14">
      <c r="A178">
        <v>4550000</v>
      </c>
      <c r="B178">
        <v>4200</v>
      </c>
      <c r="C178">
        <v>3</v>
      </c>
      <c r="D178">
        <v>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0</v>
      </c>
    </row>
    <row r="179" spans="1:14">
      <c r="A179">
        <v>3650000</v>
      </c>
      <c r="B179">
        <v>3100</v>
      </c>
      <c r="C179">
        <v>2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</row>
    <row r="180" spans="1:14">
      <c r="A180">
        <v>8350000</v>
      </c>
      <c r="B180">
        <v>7600</v>
      </c>
      <c r="C180">
        <v>5</v>
      </c>
      <c r="D180">
        <v>4</v>
      </c>
      <c r="E180">
        <v>3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3</v>
      </c>
      <c r="L180">
        <v>1</v>
      </c>
      <c r="M180">
        <v>1</v>
      </c>
      <c r="N180">
        <v>0</v>
      </c>
    </row>
    <row r="181" spans="1:14">
      <c r="A181">
        <v>5450000</v>
      </c>
      <c r="B181">
        <v>5100</v>
      </c>
      <c r="C181">
        <v>3</v>
      </c>
      <c r="D181">
        <v>2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0</v>
      </c>
      <c r="N181">
        <v>1</v>
      </c>
    </row>
    <row r="182" spans="1:14">
      <c r="A182">
        <v>4350000</v>
      </c>
      <c r="B182">
        <v>4000</v>
      </c>
      <c r="C182">
        <v>3</v>
      </c>
      <c r="D182">
        <v>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</row>
    <row r="183" spans="1:14">
      <c r="A183">
        <v>6350000</v>
      </c>
      <c r="B183">
        <v>5900</v>
      </c>
      <c r="C183">
        <v>4</v>
      </c>
      <c r="D183">
        <v>3</v>
      </c>
      <c r="E183">
        <v>2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2</v>
      </c>
      <c r="L183">
        <v>1</v>
      </c>
      <c r="M183">
        <v>1</v>
      </c>
      <c r="N183">
        <v>0</v>
      </c>
    </row>
    <row r="184" spans="1:14">
      <c r="A184">
        <v>5650000</v>
      </c>
      <c r="B184">
        <v>5300</v>
      </c>
      <c r="C184">
        <v>4</v>
      </c>
      <c r="D184">
        <v>2</v>
      </c>
      <c r="E184">
        <v>2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2</v>
      </c>
      <c r="L184">
        <v>0</v>
      </c>
      <c r="M184">
        <v>0</v>
      </c>
      <c r="N184">
        <v>1</v>
      </c>
    </row>
    <row r="185" spans="1:14">
      <c r="A185">
        <v>4750000</v>
      </c>
      <c r="B185">
        <v>4400</v>
      </c>
      <c r="C185">
        <v>3</v>
      </c>
      <c r="D185">
        <v>2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0</v>
      </c>
      <c r="M185">
        <v>0</v>
      </c>
      <c r="N185">
        <v>1</v>
      </c>
    </row>
    <row r="186" spans="1:14">
      <c r="A186">
        <v>7550000</v>
      </c>
      <c r="B186">
        <v>6900</v>
      </c>
      <c r="C186">
        <v>5</v>
      </c>
      <c r="D186">
        <v>3</v>
      </c>
      <c r="E186">
        <v>3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3</v>
      </c>
      <c r="L186">
        <v>1</v>
      </c>
      <c r="M186">
        <v>1</v>
      </c>
      <c r="N186">
        <v>0</v>
      </c>
    </row>
    <row r="187" spans="1:14">
      <c r="A187">
        <v>4150000</v>
      </c>
      <c r="B187">
        <v>3800</v>
      </c>
      <c r="C187">
        <v>3</v>
      </c>
      <c r="D187">
        <v>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>
      <c r="A188">
        <v>6950000</v>
      </c>
      <c r="B188">
        <v>6350</v>
      </c>
      <c r="C188">
        <v>4</v>
      </c>
      <c r="D188">
        <v>3</v>
      </c>
      <c r="E188">
        <v>2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2</v>
      </c>
      <c r="L188">
        <v>1</v>
      </c>
      <c r="M188">
        <v>1</v>
      </c>
      <c r="N188">
        <v>0</v>
      </c>
    </row>
    <row r="189" spans="1:14">
      <c r="A189">
        <v>5850000</v>
      </c>
      <c r="B189">
        <v>5500</v>
      </c>
      <c r="C189">
        <v>4</v>
      </c>
      <c r="D189">
        <v>2</v>
      </c>
      <c r="E189">
        <v>2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2</v>
      </c>
      <c r="L189">
        <v>0</v>
      </c>
      <c r="M189">
        <v>0</v>
      </c>
      <c r="N189">
        <v>1</v>
      </c>
    </row>
    <row r="190" spans="1:14">
      <c r="A190">
        <v>3550000</v>
      </c>
      <c r="B190">
        <v>3000</v>
      </c>
      <c r="C190">
        <v>2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</row>
    <row r="191" spans="1:14">
      <c r="A191">
        <v>8650000</v>
      </c>
      <c r="B191">
        <v>8000</v>
      </c>
      <c r="C191">
        <v>5</v>
      </c>
      <c r="D191">
        <v>4</v>
      </c>
      <c r="E191">
        <v>3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3</v>
      </c>
      <c r="L191">
        <v>1</v>
      </c>
      <c r="M191">
        <v>1</v>
      </c>
      <c r="N191">
        <v>0</v>
      </c>
    </row>
    <row r="192" spans="1:14">
      <c r="A192" t="s">
        <v>28</v>
      </c>
    </row>
    <row r="193" spans="1:14">
      <c r="A193" t="s">
        <v>28</v>
      </c>
    </row>
    <row r="194" spans="1:14">
      <c r="A194" t="s">
        <v>28</v>
      </c>
    </row>
    <row r="195" spans="1:14">
      <c r="A195" t="s">
        <v>28</v>
      </c>
    </row>
    <row r="196" spans="1:14">
      <c r="A196" t="s">
        <v>28</v>
      </c>
    </row>
    <row r="197" spans="1:14">
      <c r="A197">
        <v>5250000</v>
      </c>
      <c r="B197">
        <v>4850</v>
      </c>
      <c r="C197">
        <v>3</v>
      </c>
      <c r="D197">
        <v>2</v>
      </c>
      <c r="E197">
        <v>2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0</v>
      </c>
      <c r="N197">
        <v>1</v>
      </c>
    </row>
    <row r="198" spans="1:14">
      <c r="A198">
        <v>6150000</v>
      </c>
      <c r="B198">
        <v>5750</v>
      </c>
      <c r="C198">
        <v>4</v>
      </c>
      <c r="D198">
        <v>3</v>
      </c>
      <c r="E198">
        <v>2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2</v>
      </c>
      <c r="L198">
        <v>1</v>
      </c>
      <c r="M198">
        <v>1</v>
      </c>
      <c r="N198">
        <v>0</v>
      </c>
    </row>
    <row r="199" spans="1:14">
      <c r="A199">
        <v>4450000</v>
      </c>
      <c r="B199">
        <v>4100</v>
      </c>
      <c r="C199">
        <v>3</v>
      </c>
      <c r="D199">
        <v>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</row>
    <row r="200" spans="1:14">
      <c r="A200">
        <v>7850000</v>
      </c>
      <c r="B200">
        <v>7200</v>
      </c>
      <c r="C200">
        <v>5</v>
      </c>
      <c r="D200">
        <v>3</v>
      </c>
      <c r="E200">
        <v>3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3</v>
      </c>
      <c r="L200">
        <v>1</v>
      </c>
      <c r="M200">
        <v>1</v>
      </c>
      <c r="N200">
        <v>0</v>
      </c>
    </row>
    <row r="201" spans="1:14">
      <c r="A201">
        <v>5550000</v>
      </c>
      <c r="B201">
        <v>5200</v>
      </c>
      <c r="C201">
        <v>4</v>
      </c>
      <c r="D201">
        <v>2</v>
      </c>
      <c r="E201">
        <v>2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2</v>
      </c>
      <c r="L201">
        <v>0</v>
      </c>
      <c r="M201">
        <v>0</v>
      </c>
      <c r="N20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51D2-E2F6-43B7-AB01-6290258F7352}">
  <dimension ref="A1:Q167"/>
  <sheetViews>
    <sheetView workbookViewId="0">
      <selection activeCell="Q1" sqref="Q1"/>
    </sheetView>
  </sheetViews>
  <sheetFormatPr defaultRowHeight="14.5"/>
  <cols>
    <col min="1" max="1" width="8.81640625" bestFit="1" customWidth="1"/>
    <col min="2" max="2" width="6.7265625" bestFit="1" customWidth="1"/>
    <col min="3" max="14" width="3.36328125" bestFit="1" customWidth="1"/>
    <col min="15" max="15" width="8.7265625" customWidth="1"/>
  </cols>
  <sheetData>
    <row r="1" spans="1:17" ht="10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18</v>
      </c>
      <c r="O1" s="22" t="s">
        <v>29</v>
      </c>
      <c r="P1" s="22" t="s">
        <v>30</v>
      </c>
      <c r="Q1" s="21" t="s">
        <v>31</v>
      </c>
    </row>
    <row r="2" spans="1:17">
      <c r="A2">
        <v>4450000</v>
      </c>
      <c r="B2">
        <v>4100</v>
      </c>
      <c r="C2">
        <v>3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f t="shared" ref="O2:O33" ca="1" si="0">RAND()</f>
        <v>0.66789435700395217</v>
      </c>
      <c r="P2">
        <v>6.9638787411693492E-2</v>
      </c>
      <c r="Q2" s="23" t="str">
        <f>IF(ROWS($A$2:A2)&lt;=ROUND(COUNTA($A:$A)*80%,0),"Training","Testing")</f>
        <v>Training</v>
      </c>
    </row>
    <row r="3" spans="1:17">
      <c r="A3">
        <v>3650000</v>
      </c>
      <c r="B3">
        <v>3200</v>
      </c>
      <c r="C3">
        <v>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f t="shared" ca="1" si="0"/>
        <v>0.84702503012062369</v>
      </c>
      <c r="P3">
        <v>0.88118002162667919</v>
      </c>
      <c r="Q3" t="str">
        <f>IF(ROWS($A$2:A3)&lt;=ROUND(COUNTA($A:$A)*80%,0),"Training","Testing")</f>
        <v>Training</v>
      </c>
    </row>
    <row r="4" spans="1:17">
      <c r="A4">
        <v>7750000</v>
      </c>
      <c r="B4">
        <v>7100</v>
      </c>
      <c r="C4">
        <v>5</v>
      </c>
      <c r="D4">
        <v>3</v>
      </c>
      <c r="E4">
        <v>3</v>
      </c>
      <c r="F4">
        <v>1</v>
      </c>
      <c r="G4">
        <v>1</v>
      </c>
      <c r="H4">
        <v>1</v>
      </c>
      <c r="I4">
        <v>0</v>
      </c>
      <c r="J4">
        <v>1</v>
      </c>
      <c r="K4">
        <v>3</v>
      </c>
      <c r="L4">
        <v>1</v>
      </c>
      <c r="M4">
        <v>1</v>
      </c>
      <c r="N4">
        <v>0</v>
      </c>
      <c r="O4">
        <f t="shared" ca="1" si="0"/>
        <v>0.25122813047807835</v>
      </c>
      <c r="P4">
        <v>0.42849079222713726</v>
      </c>
      <c r="Q4" t="str">
        <f>IF(ROWS($A$2:A4)&lt;=ROUND(COUNTA($A:$A)*80%,0),"Training","Testing")</f>
        <v>Training</v>
      </c>
    </row>
    <row r="5" spans="1:17">
      <c r="A5">
        <v>5250000</v>
      </c>
      <c r="B5">
        <v>4850</v>
      </c>
      <c r="C5">
        <v>3</v>
      </c>
      <c r="D5">
        <v>2</v>
      </c>
      <c r="E5">
        <v>2</v>
      </c>
      <c r="F5">
        <v>1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f t="shared" ca="1" si="0"/>
        <v>6.8909023255486535E-2</v>
      </c>
      <c r="P5">
        <v>0.89218027629109153</v>
      </c>
      <c r="Q5" t="str">
        <f>IF(ROWS($A$2:A5)&lt;=ROUND(COUNTA($A:$A)*80%,0),"Training","Testing")</f>
        <v>Training</v>
      </c>
    </row>
    <row r="6" spans="1:17">
      <c r="A6">
        <v>6450000</v>
      </c>
      <c r="B6">
        <v>5950</v>
      </c>
      <c r="C6">
        <v>4</v>
      </c>
      <c r="D6">
        <v>3</v>
      </c>
      <c r="E6">
        <v>2</v>
      </c>
      <c r="F6">
        <v>1</v>
      </c>
      <c r="G6">
        <v>1</v>
      </c>
      <c r="H6">
        <v>0</v>
      </c>
      <c r="I6">
        <v>0</v>
      </c>
      <c r="J6">
        <v>1</v>
      </c>
      <c r="K6">
        <v>2</v>
      </c>
      <c r="L6">
        <v>1</v>
      </c>
      <c r="M6">
        <v>1</v>
      </c>
      <c r="N6">
        <v>0</v>
      </c>
      <c r="O6">
        <f t="shared" ca="1" si="0"/>
        <v>0.81619426007227203</v>
      </c>
      <c r="P6">
        <v>0.49901139428044328</v>
      </c>
      <c r="Q6" t="str">
        <f>IF(ROWS($A$2:A6)&lt;=ROUND(COUNTA($A:$A)*80%,0),"Training","Testing")</f>
        <v>Training</v>
      </c>
    </row>
    <row r="7" spans="1:17">
      <c r="A7">
        <v>4450000</v>
      </c>
      <c r="B7">
        <v>4100</v>
      </c>
      <c r="C7">
        <v>3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f t="shared" ca="1" si="0"/>
        <v>1.1743298627060916E-2</v>
      </c>
      <c r="P7">
        <v>0.4987143526079082</v>
      </c>
      <c r="Q7" t="str">
        <f>IF(ROWS($A$2:A7)&lt;=ROUND(COUNTA($A:$A)*80%,0),"Training","Testing")</f>
        <v>Training</v>
      </c>
    </row>
    <row r="8" spans="1:17">
      <c r="A8">
        <v>8350000</v>
      </c>
      <c r="B8">
        <v>7400</v>
      </c>
      <c r="C8">
        <v>5</v>
      </c>
      <c r="D8">
        <v>3</v>
      </c>
      <c r="E8">
        <v>3</v>
      </c>
      <c r="F8">
        <v>1</v>
      </c>
      <c r="G8">
        <v>1</v>
      </c>
      <c r="H8">
        <v>1</v>
      </c>
      <c r="I8">
        <v>0</v>
      </c>
      <c r="J8">
        <v>1</v>
      </c>
      <c r="K8">
        <v>3</v>
      </c>
      <c r="L8">
        <v>1</v>
      </c>
      <c r="M8">
        <v>1</v>
      </c>
      <c r="N8">
        <v>0</v>
      </c>
      <c r="O8">
        <f t="shared" ca="1" si="0"/>
        <v>0.85651328315590602</v>
      </c>
      <c r="P8">
        <v>0.69906201420519765</v>
      </c>
      <c r="Q8" t="str">
        <f>IF(ROWS($A$2:A8)&lt;=ROUND(COUNTA($A:$A)*80%,0),"Training","Testing")</f>
        <v>Training</v>
      </c>
    </row>
    <row r="9" spans="1:17">
      <c r="A9">
        <v>3450000</v>
      </c>
      <c r="B9">
        <v>2950</v>
      </c>
      <c r="C9">
        <v>2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f t="shared" ca="1" si="0"/>
        <v>0.45207553208090467</v>
      </c>
      <c r="P9">
        <v>0.76531236972137451</v>
      </c>
      <c r="Q9" t="str">
        <f>IF(ROWS($A$2:A9)&lt;=ROUND(COUNTA($A:$A)*80%,0),"Training","Testing")</f>
        <v>Training</v>
      </c>
    </row>
    <row r="10" spans="1:17">
      <c r="A10">
        <v>5550000</v>
      </c>
      <c r="B10">
        <v>5150</v>
      </c>
      <c r="C10">
        <v>4</v>
      </c>
      <c r="D10">
        <v>2</v>
      </c>
      <c r="E10">
        <v>2</v>
      </c>
      <c r="F10">
        <v>1</v>
      </c>
      <c r="G10">
        <v>0</v>
      </c>
      <c r="H10">
        <v>1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f t="shared" ca="1" si="0"/>
        <v>0.41589364975000265</v>
      </c>
      <c r="P10">
        <v>1.0501617584284917E-2</v>
      </c>
      <c r="Q10" t="str">
        <f>IF(ROWS($A$2:A10)&lt;=ROUND(COUNTA($A:$A)*80%,0),"Training","Testing")</f>
        <v>Training</v>
      </c>
    </row>
    <row r="11" spans="1:17">
      <c r="A11">
        <v>7250000</v>
      </c>
      <c r="B11">
        <v>6600</v>
      </c>
      <c r="C11">
        <v>5</v>
      </c>
      <c r="D11">
        <v>3</v>
      </c>
      <c r="E11">
        <v>3</v>
      </c>
      <c r="F11">
        <v>1</v>
      </c>
      <c r="G11">
        <v>1</v>
      </c>
      <c r="H11">
        <v>1</v>
      </c>
      <c r="I11">
        <v>0</v>
      </c>
      <c r="J11">
        <v>1</v>
      </c>
      <c r="K11">
        <v>3</v>
      </c>
      <c r="L11">
        <v>1</v>
      </c>
      <c r="M11">
        <v>1</v>
      </c>
      <c r="N11">
        <v>0</v>
      </c>
      <c r="O11">
        <f t="shared" ca="1" si="0"/>
        <v>0.94386176010529255</v>
      </c>
      <c r="P11">
        <v>0.42999649296948284</v>
      </c>
      <c r="Q11" t="str">
        <f>IF(ROWS($A$2:A11)&lt;=ROUND(COUNTA($A:$A)*80%,0),"Training","Testing")</f>
        <v>Training</v>
      </c>
    </row>
    <row r="12" spans="1:17">
      <c r="A12">
        <v>6750000</v>
      </c>
      <c r="B12">
        <v>6200</v>
      </c>
      <c r="C12">
        <v>4</v>
      </c>
      <c r="D12">
        <v>3</v>
      </c>
      <c r="E12">
        <v>2</v>
      </c>
      <c r="F12">
        <v>1</v>
      </c>
      <c r="G12">
        <v>1</v>
      </c>
      <c r="H12">
        <v>0</v>
      </c>
      <c r="I12">
        <v>0</v>
      </c>
      <c r="J12">
        <v>1</v>
      </c>
      <c r="K12">
        <v>2</v>
      </c>
      <c r="L12">
        <v>1</v>
      </c>
      <c r="M12">
        <v>1</v>
      </c>
      <c r="N12">
        <v>0</v>
      </c>
      <c r="O12">
        <f t="shared" ca="1" si="0"/>
        <v>0.77626042453992306</v>
      </c>
      <c r="P12">
        <v>0.86838923775836152</v>
      </c>
      <c r="Q12" t="str">
        <f>IF(ROWS($A$2:A12)&lt;=ROUND(COUNTA($A:$A)*80%,0),"Training","Testing")</f>
        <v>Training</v>
      </c>
    </row>
    <row r="13" spans="1:17">
      <c r="A13">
        <v>8900000</v>
      </c>
      <c r="B13">
        <v>4550</v>
      </c>
      <c r="C13">
        <v>3</v>
      </c>
      <c r="D13">
        <v>2</v>
      </c>
      <c r="E13">
        <v>2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f t="shared" ca="1" si="0"/>
        <v>0.18972953212807486</v>
      </c>
      <c r="P13">
        <v>0.30677148904036422</v>
      </c>
      <c r="Q13" t="str">
        <f>IF(ROWS($A$2:A13)&lt;=ROUND(COUNTA($A:$A)*80%,0),"Training","Testing")</f>
        <v>Training</v>
      </c>
    </row>
    <row r="14" spans="1:17">
      <c r="A14">
        <v>11400000</v>
      </c>
      <c r="B14">
        <v>5900</v>
      </c>
      <c r="C14">
        <v>3</v>
      </c>
      <c r="D14">
        <v>2</v>
      </c>
      <c r="E14">
        <v>2</v>
      </c>
      <c r="F14">
        <v>1</v>
      </c>
      <c r="G14">
        <v>0</v>
      </c>
      <c r="H14">
        <v>1</v>
      </c>
      <c r="I14">
        <v>0</v>
      </c>
      <c r="J14">
        <v>1</v>
      </c>
      <c r="K14">
        <v>2</v>
      </c>
      <c r="L14">
        <v>1</v>
      </c>
      <c r="M14">
        <v>0</v>
      </c>
      <c r="N14">
        <v>1</v>
      </c>
      <c r="O14">
        <f t="shared" ca="1" si="0"/>
        <v>0.3835079178226819</v>
      </c>
      <c r="P14">
        <v>0.58381996762978094</v>
      </c>
      <c r="Q14" t="str">
        <f>IF(ROWS($A$2:A14)&lt;=ROUND(COUNTA($A:$A)*80%,0),"Training","Testing")</f>
        <v>Training</v>
      </c>
    </row>
    <row r="15" spans="1:17">
      <c r="A15">
        <v>8450000</v>
      </c>
      <c r="B15">
        <v>7800</v>
      </c>
      <c r="C15">
        <v>5</v>
      </c>
      <c r="D15">
        <v>4</v>
      </c>
      <c r="E15">
        <v>3</v>
      </c>
      <c r="F15">
        <v>1</v>
      </c>
      <c r="G15">
        <v>1</v>
      </c>
      <c r="H15">
        <v>1</v>
      </c>
      <c r="I15">
        <v>0</v>
      </c>
      <c r="J15">
        <v>1</v>
      </c>
      <c r="K15">
        <v>3</v>
      </c>
      <c r="L15">
        <v>1</v>
      </c>
      <c r="M15">
        <v>1</v>
      </c>
      <c r="N15">
        <v>0</v>
      </c>
      <c r="O15">
        <f t="shared" ca="1" si="0"/>
        <v>0.86902740719927307</v>
      </c>
      <c r="P15">
        <v>0.43155482543062962</v>
      </c>
      <c r="Q15" t="str">
        <f>IF(ROWS($A$2:A15)&lt;=ROUND(COUNTA($A:$A)*80%,0),"Training","Testing")</f>
        <v>Training</v>
      </c>
    </row>
    <row r="16" spans="1:17">
      <c r="A16">
        <v>4750000</v>
      </c>
      <c r="B16">
        <v>4400</v>
      </c>
      <c r="C16">
        <v>3</v>
      </c>
      <c r="D16">
        <v>2</v>
      </c>
      <c r="E16">
        <v>2</v>
      </c>
      <c r="F16">
        <v>1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1</v>
      </c>
      <c r="O16">
        <f t="shared" ca="1" si="0"/>
        <v>0.93205540545097043</v>
      </c>
      <c r="P16">
        <v>0.34875592791987275</v>
      </c>
      <c r="Q16" t="str">
        <f>IF(ROWS($A$2:A16)&lt;=ROUND(COUNTA($A:$A)*80%,0),"Training","Testing")</f>
        <v>Training</v>
      </c>
    </row>
    <row r="17" spans="1:17">
      <c r="A17">
        <v>3600000</v>
      </c>
      <c r="B17">
        <v>3200</v>
      </c>
      <c r="C17">
        <v>2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f t="shared" ca="1" si="0"/>
        <v>0.65371235680861561</v>
      </c>
      <c r="P17">
        <v>0.92049057840827153</v>
      </c>
      <c r="Q17" t="str">
        <f>IF(ROWS($A$2:A17)&lt;=ROUND(COUNTA($A:$A)*80%,0),"Training","Testing")</f>
        <v>Training</v>
      </c>
    </row>
    <row r="18" spans="1:17">
      <c r="A18">
        <v>4450000</v>
      </c>
      <c r="B18">
        <v>4100</v>
      </c>
      <c r="C18">
        <v>3</v>
      </c>
      <c r="D18">
        <v>2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f t="shared" ca="1" si="0"/>
        <v>0.47476029148857146</v>
      </c>
      <c r="P18">
        <v>0.68046833472517143</v>
      </c>
      <c r="Q18" t="str">
        <f>IF(ROWS($A$2:A18)&lt;=ROUND(COUNTA($A:$A)*80%,0),"Training","Testing")</f>
        <v>Training</v>
      </c>
    </row>
    <row r="19" spans="1:17">
      <c r="A19">
        <v>5150000</v>
      </c>
      <c r="B19">
        <v>4700</v>
      </c>
      <c r="C19">
        <v>3</v>
      </c>
      <c r="D19">
        <v>2</v>
      </c>
      <c r="E19">
        <v>2</v>
      </c>
      <c r="F19">
        <v>1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1</v>
      </c>
      <c r="O19">
        <f t="shared" ca="1" si="0"/>
        <v>0.76992929069994465</v>
      </c>
      <c r="P19">
        <v>0.78858348946721613</v>
      </c>
      <c r="Q19" t="str">
        <f>IF(ROWS($A$2:A19)&lt;=ROUND(COUNTA($A:$A)*80%,0),"Training","Testing")</f>
        <v>Training</v>
      </c>
    </row>
    <row r="20" spans="1:17">
      <c r="A20">
        <v>4950000</v>
      </c>
      <c r="B20">
        <v>4550</v>
      </c>
      <c r="C20">
        <v>3</v>
      </c>
      <c r="D20">
        <v>2</v>
      </c>
      <c r="E20">
        <v>2</v>
      </c>
      <c r="F20">
        <v>1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1</v>
      </c>
      <c r="O20">
        <f t="shared" ca="1" si="0"/>
        <v>0.56235257884358258</v>
      </c>
      <c r="P20">
        <v>5.0227879934866326E-2</v>
      </c>
      <c r="Q20" t="str">
        <f>IF(ROWS($A$2:A20)&lt;=ROUND(COUNTA($A:$A)*80%,0),"Training","Testing")</f>
        <v>Training</v>
      </c>
    </row>
    <row r="21" spans="1:17">
      <c r="A21">
        <v>6900000</v>
      </c>
      <c r="B21">
        <v>6300</v>
      </c>
      <c r="C21">
        <v>4</v>
      </c>
      <c r="D21">
        <v>3</v>
      </c>
      <c r="E21">
        <v>3</v>
      </c>
      <c r="F21">
        <v>1</v>
      </c>
      <c r="G21">
        <v>1</v>
      </c>
      <c r="H21">
        <v>1</v>
      </c>
      <c r="I21">
        <v>0</v>
      </c>
      <c r="J21">
        <v>1</v>
      </c>
      <c r="K21">
        <v>3</v>
      </c>
      <c r="L21">
        <v>1</v>
      </c>
      <c r="M21">
        <v>1</v>
      </c>
      <c r="N21">
        <v>0</v>
      </c>
      <c r="O21">
        <f t="shared" ca="1" si="0"/>
        <v>0.5265263449920895</v>
      </c>
      <c r="P21">
        <v>0.11053296908187227</v>
      </c>
      <c r="Q21" t="str">
        <f>IF(ROWS($A$2:A21)&lt;=ROUND(COUNTA($A:$A)*80%,0),"Training","Testing")</f>
        <v>Training</v>
      </c>
    </row>
    <row r="22" spans="1:17">
      <c r="A22">
        <v>4800000</v>
      </c>
      <c r="B22">
        <v>4450</v>
      </c>
      <c r="C22">
        <v>3</v>
      </c>
      <c r="D22">
        <v>2</v>
      </c>
      <c r="E22">
        <v>2</v>
      </c>
      <c r="F22">
        <v>1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f t="shared" ca="1" si="0"/>
        <v>0.50718772277071555</v>
      </c>
      <c r="P22">
        <v>0.50441911955396002</v>
      </c>
      <c r="Q22" t="str">
        <f>IF(ROWS($A$2:A22)&lt;=ROUND(COUNTA($A:$A)*80%,0),"Training","Testing")</f>
        <v>Training</v>
      </c>
    </row>
    <row r="23" spans="1:17">
      <c r="A23">
        <v>5200000</v>
      </c>
      <c r="B23">
        <v>4600</v>
      </c>
      <c r="C23">
        <v>3</v>
      </c>
      <c r="D23">
        <v>2</v>
      </c>
      <c r="E23">
        <v>2</v>
      </c>
      <c r="F23">
        <v>1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f t="shared" ca="1" si="0"/>
        <v>0.42024161585000253</v>
      </c>
      <c r="P23">
        <v>0.99167088459238206</v>
      </c>
      <c r="Q23" t="str">
        <f>IF(ROWS($A$2:A23)&lt;=ROUND(COUNTA($A:$A)*80%,0),"Training","Testing")</f>
        <v>Training</v>
      </c>
    </row>
    <row r="24" spans="1:17">
      <c r="A24">
        <v>4750000</v>
      </c>
      <c r="B24">
        <v>4400</v>
      </c>
      <c r="C24">
        <v>3</v>
      </c>
      <c r="D24">
        <v>2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f t="shared" ca="1" si="0"/>
        <v>0.39521267400562365</v>
      </c>
      <c r="P24">
        <v>0.67714346396670155</v>
      </c>
      <c r="Q24" t="str">
        <f>IF(ROWS($A$2:A24)&lt;=ROUND(COUNTA($A:$A)*80%,0),"Training","Testing")</f>
        <v>Training</v>
      </c>
    </row>
    <row r="25" spans="1:17">
      <c r="A25">
        <v>7450000</v>
      </c>
      <c r="B25">
        <v>6800</v>
      </c>
      <c r="C25">
        <v>5</v>
      </c>
      <c r="D25">
        <v>3</v>
      </c>
      <c r="E25">
        <v>3</v>
      </c>
      <c r="F25">
        <v>1</v>
      </c>
      <c r="G25">
        <v>1</v>
      </c>
      <c r="H25">
        <v>1</v>
      </c>
      <c r="I25">
        <v>0</v>
      </c>
      <c r="J25">
        <v>1</v>
      </c>
      <c r="K25">
        <v>3</v>
      </c>
      <c r="L25">
        <v>1</v>
      </c>
      <c r="M25">
        <v>1</v>
      </c>
      <c r="N25">
        <v>0</v>
      </c>
      <c r="O25">
        <f t="shared" ca="1" si="0"/>
        <v>0.73456207954409813</v>
      </c>
      <c r="P25">
        <v>0.38249651273371066</v>
      </c>
      <c r="Q25" t="str">
        <f>IF(ROWS($A$2:A25)&lt;=ROUND(COUNTA($A:$A)*80%,0),"Training","Testing")</f>
        <v>Training</v>
      </c>
    </row>
    <row r="26" spans="1:17">
      <c r="A26">
        <v>6650000</v>
      </c>
      <c r="B26">
        <v>6150</v>
      </c>
      <c r="C26">
        <v>4</v>
      </c>
      <c r="D26">
        <v>3</v>
      </c>
      <c r="E26">
        <v>2</v>
      </c>
      <c r="F26">
        <v>1</v>
      </c>
      <c r="G26">
        <v>1</v>
      </c>
      <c r="H26">
        <v>0</v>
      </c>
      <c r="I26">
        <v>0</v>
      </c>
      <c r="J26">
        <v>1</v>
      </c>
      <c r="K26">
        <v>2</v>
      </c>
      <c r="L26">
        <v>1</v>
      </c>
      <c r="M26">
        <v>1</v>
      </c>
      <c r="N26">
        <v>0</v>
      </c>
      <c r="O26">
        <f t="shared" ca="1" si="0"/>
        <v>0.91952775694664457</v>
      </c>
      <c r="P26">
        <v>0.61882182213227632</v>
      </c>
      <c r="Q26" t="str">
        <f>IF(ROWS($A$2:A26)&lt;=ROUND(COUNTA($A:$A)*80%,0),"Training","Testing")</f>
        <v>Training</v>
      </c>
    </row>
    <row r="27" spans="1:17">
      <c r="A27">
        <v>5150000</v>
      </c>
      <c r="B27">
        <v>4800</v>
      </c>
      <c r="C27">
        <v>3</v>
      </c>
      <c r="D27">
        <v>2</v>
      </c>
      <c r="E27">
        <v>2</v>
      </c>
      <c r="F27">
        <v>1</v>
      </c>
      <c r="G27">
        <v>0</v>
      </c>
      <c r="H27">
        <v>1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f t="shared" ca="1" si="0"/>
        <v>0.77789119391114891</v>
      </c>
      <c r="P27">
        <v>0.39197383037785161</v>
      </c>
      <c r="Q27" t="str">
        <f>IF(ROWS($A$2:A27)&lt;=ROUND(COUNTA($A:$A)*80%,0),"Training","Testing")</f>
        <v>Training</v>
      </c>
    </row>
    <row r="28" spans="1:17">
      <c r="A28">
        <v>6250000</v>
      </c>
      <c r="B28">
        <v>5800</v>
      </c>
      <c r="C28">
        <v>4</v>
      </c>
      <c r="D28">
        <v>3</v>
      </c>
      <c r="E28">
        <v>2</v>
      </c>
      <c r="F28">
        <v>1</v>
      </c>
      <c r="G28">
        <v>1</v>
      </c>
      <c r="H28">
        <v>0</v>
      </c>
      <c r="I28">
        <v>0</v>
      </c>
      <c r="J28">
        <v>1</v>
      </c>
      <c r="K28">
        <v>2</v>
      </c>
      <c r="L28">
        <v>1</v>
      </c>
      <c r="M28">
        <v>1</v>
      </c>
      <c r="N28">
        <v>0</v>
      </c>
      <c r="O28">
        <f t="shared" ca="1" si="0"/>
        <v>0.78552461863469114</v>
      </c>
      <c r="P28">
        <v>0.30030609639260264</v>
      </c>
      <c r="Q28" t="str">
        <f>IF(ROWS($A$2:A28)&lt;=ROUND(COUNTA($A:$A)*80%,0),"Training","Testing")</f>
        <v>Training</v>
      </c>
    </row>
    <row r="29" spans="1:17">
      <c r="A29">
        <v>7550000</v>
      </c>
      <c r="B29">
        <v>6900</v>
      </c>
      <c r="C29">
        <v>5</v>
      </c>
      <c r="D29">
        <v>3</v>
      </c>
      <c r="E29">
        <v>3</v>
      </c>
      <c r="F29">
        <v>1</v>
      </c>
      <c r="G29">
        <v>1</v>
      </c>
      <c r="H29">
        <v>1</v>
      </c>
      <c r="I29">
        <v>0</v>
      </c>
      <c r="J29">
        <v>1</v>
      </c>
      <c r="K29">
        <v>3</v>
      </c>
      <c r="L29">
        <v>1</v>
      </c>
      <c r="M29">
        <v>1</v>
      </c>
      <c r="N29">
        <v>0</v>
      </c>
      <c r="O29">
        <f t="shared" ca="1" si="0"/>
        <v>0.57342256523935642</v>
      </c>
      <c r="P29">
        <v>5.164158493924742E-2</v>
      </c>
      <c r="Q29" t="str">
        <f>IF(ROWS($A$2:A29)&lt;=ROUND(COUNTA($A:$A)*80%,0),"Training","Testing")</f>
        <v>Training</v>
      </c>
    </row>
    <row r="30" spans="1:17">
      <c r="A30">
        <v>5150000</v>
      </c>
      <c r="B30">
        <v>4800</v>
      </c>
      <c r="C30">
        <v>3</v>
      </c>
      <c r="D30">
        <v>2</v>
      </c>
      <c r="E30">
        <v>2</v>
      </c>
      <c r="F30">
        <v>1</v>
      </c>
      <c r="G30">
        <v>0</v>
      </c>
      <c r="H30">
        <v>1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f t="shared" ca="1" si="0"/>
        <v>0.56930222359171379</v>
      </c>
      <c r="P30">
        <v>0.79437806539446232</v>
      </c>
      <c r="Q30" t="str">
        <f>IF(ROWS($A$2:A30)&lt;=ROUND(COUNTA($A:$A)*80%,0),"Training","Testing")</f>
        <v>Training</v>
      </c>
    </row>
    <row r="31" spans="1:17">
      <c r="A31">
        <v>7900000</v>
      </c>
      <c r="B31">
        <v>7300</v>
      </c>
      <c r="C31">
        <v>5</v>
      </c>
      <c r="D31">
        <v>4</v>
      </c>
      <c r="E31">
        <v>3</v>
      </c>
      <c r="F31">
        <v>1</v>
      </c>
      <c r="G31">
        <v>1</v>
      </c>
      <c r="H31">
        <v>1</v>
      </c>
      <c r="I31">
        <v>0</v>
      </c>
      <c r="J31">
        <v>1</v>
      </c>
      <c r="K31">
        <v>3</v>
      </c>
      <c r="L31">
        <v>1</v>
      </c>
      <c r="M31">
        <v>1</v>
      </c>
      <c r="N31">
        <v>0</v>
      </c>
      <c r="O31">
        <f t="shared" ca="1" si="0"/>
        <v>0.73618926596943801</v>
      </c>
      <c r="P31">
        <v>0.60967552414342063</v>
      </c>
      <c r="Q31" t="str">
        <f>IF(ROWS($A$2:A31)&lt;=ROUND(COUNTA($A:$A)*80%,0),"Training","Testing")</f>
        <v>Training</v>
      </c>
    </row>
    <row r="32" spans="1:17">
      <c r="A32">
        <v>13300000</v>
      </c>
      <c r="B32">
        <v>7420</v>
      </c>
      <c r="C32">
        <v>4</v>
      </c>
      <c r="D32">
        <v>2</v>
      </c>
      <c r="E32">
        <v>3</v>
      </c>
      <c r="F32">
        <v>1</v>
      </c>
      <c r="G32">
        <v>0</v>
      </c>
      <c r="H32">
        <v>0</v>
      </c>
      <c r="I32">
        <v>0</v>
      </c>
      <c r="J32">
        <v>1</v>
      </c>
      <c r="K32">
        <v>2</v>
      </c>
      <c r="L32">
        <v>1</v>
      </c>
      <c r="M32">
        <v>1</v>
      </c>
      <c r="N32">
        <v>0</v>
      </c>
      <c r="O32">
        <f t="shared" ca="1" si="0"/>
        <v>0.16494694098903917</v>
      </c>
      <c r="P32">
        <v>0.29925624433572101</v>
      </c>
      <c r="Q32" t="str">
        <f>IF(ROWS($A$2:A32)&lt;=ROUND(COUNTA($A:$A)*80%,0),"Training","Testing")</f>
        <v>Training</v>
      </c>
    </row>
    <row r="33" spans="1:17">
      <c r="A33">
        <v>4850000</v>
      </c>
      <c r="B33">
        <v>4450</v>
      </c>
      <c r="C33">
        <v>3</v>
      </c>
      <c r="D33">
        <v>2</v>
      </c>
      <c r="E33">
        <v>2</v>
      </c>
      <c r="F33">
        <v>1</v>
      </c>
      <c r="G33">
        <v>0</v>
      </c>
      <c r="H33">
        <v>1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f t="shared" ca="1" si="0"/>
        <v>0.62650015574409879</v>
      </c>
      <c r="P33">
        <v>0.75820993314716489</v>
      </c>
      <c r="Q33" t="str">
        <f>IF(ROWS($A$2:A33)&lt;=ROUND(COUNTA($A:$A)*80%,0),"Training","Testing")</f>
        <v>Training</v>
      </c>
    </row>
    <row r="34" spans="1:17">
      <c r="A34">
        <v>4550000</v>
      </c>
      <c r="B34">
        <v>4200</v>
      </c>
      <c r="C34">
        <v>3</v>
      </c>
      <c r="D34">
        <v>2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f t="shared" ref="O34:O65" ca="1" si="1">RAND()</f>
        <v>0.3448603871996917</v>
      </c>
      <c r="P34">
        <v>0.94380342929760053</v>
      </c>
      <c r="Q34" t="str">
        <f>IF(ROWS($A$2:A34)&lt;=ROUND(COUNTA($A:$A)*80%,0),"Training","Testing")</f>
        <v>Training</v>
      </c>
    </row>
    <row r="35" spans="1:17">
      <c r="A35">
        <v>6850000</v>
      </c>
      <c r="B35">
        <v>6250</v>
      </c>
      <c r="C35">
        <v>4</v>
      </c>
      <c r="D35">
        <v>3</v>
      </c>
      <c r="E35">
        <v>2</v>
      </c>
      <c r="F35">
        <v>1</v>
      </c>
      <c r="G35">
        <v>1</v>
      </c>
      <c r="H35">
        <v>0</v>
      </c>
      <c r="I35">
        <v>0</v>
      </c>
      <c r="J35">
        <v>1</v>
      </c>
      <c r="K35">
        <v>2</v>
      </c>
      <c r="L35">
        <v>1</v>
      </c>
      <c r="M35">
        <v>1</v>
      </c>
      <c r="N35">
        <v>0</v>
      </c>
      <c r="O35">
        <f t="shared" ca="1" si="1"/>
        <v>0.68886515977606722</v>
      </c>
      <c r="P35">
        <v>0.25577815345597188</v>
      </c>
      <c r="Q35" t="str">
        <f>IF(ROWS($A$2:A35)&lt;=ROUND(COUNTA($A:$A)*80%,0),"Training","Testing")</f>
        <v>Training</v>
      </c>
    </row>
    <row r="36" spans="1:17">
      <c r="A36">
        <v>11950000</v>
      </c>
      <c r="B36">
        <v>5400</v>
      </c>
      <c r="C36">
        <v>4</v>
      </c>
      <c r="D36">
        <v>3</v>
      </c>
      <c r="E36">
        <v>2</v>
      </c>
      <c r="F36">
        <v>1</v>
      </c>
      <c r="G36">
        <v>1</v>
      </c>
      <c r="H36">
        <v>0</v>
      </c>
      <c r="I36">
        <v>0</v>
      </c>
      <c r="J36">
        <v>1</v>
      </c>
      <c r="K36">
        <v>2</v>
      </c>
      <c r="L36">
        <v>1</v>
      </c>
      <c r="M36">
        <v>1</v>
      </c>
      <c r="N36">
        <v>0</v>
      </c>
      <c r="O36">
        <f t="shared" ca="1" si="1"/>
        <v>0.52515283566212989</v>
      </c>
      <c r="P36">
        <v>0.29053725422361498</v>
      </c>
      <c r="Q36" t="str">
        <f>IF(ROWS($A$2:A36)&lt;=ROUND(COUNTA($A:$A)*80%,0),"Training","Testing")</f>
        <v>Training</v>
      </c>
    </row>
    <row r="37" spans="1:17">
      <c r="A37">
        <v>6200000</v>
      </c>
      <c r="B37">
        <v>5850</v>
      </c>
      <c r="C37">
        <v>4</v>
      </c>
      <c r="D37">
        <v>3</v>
      </c>
      <c r="E37">
        <v>2</v>
      </c>
      <c r="F37">
        <v>1</v>
      </c>
      <c r="G37">
        <v>1</v>
      </c>
      <c r="H37">
        <v>0</v>
      </c>
      <c r="I37">
        <v>0</v>
      </c>
      <c r="J37">
        <v>1</v>
      </c>
      <c r="K37">
        <v>2</v>
      </c>
      <c r="L37">
        <v>1</v>
      </c>
      <c r="M37">
        <v>1</v>
      </c>
      <c r="N37">
        <v>0</v>
      </c>
      <c r="O37">
        <f t="shared" ca="1" si="1"/>
        <v>0.36669872011782478</v>
      </c>
      <c r="P37">
        <v>0.34591715422311042</v>
      </c>
      <c r="Q37" t="str">
        <f>IF(ROWS($A$2:A37)&lt;=ROUND(COUNTA($A:$A)*80%,0),"Training","Testing")</f>
        <v>Training</v>
      </c>
    </row>
    <row r="38" spans="1:17">
      <c r="A38">
        <v>5250000</v>
      </c>
      <c r="B38">
        <v>4950</v>
      </c>
      <c r="C38">
        <v>3</v>
      </c>
      <c r="D38">
        <v>2</v>
      </c>
      <c r="E38">
        <v>2</v>
      </c>
      <c r="F38">
        <v>1</v>
      </c>
      <c r="G38">
        <v>0</v>
      </c>
      <c r="H38">
        <v>0</v>
      </c>
      <c r="I38">
        <v>0</v>
      </c>
      <c r="J38">
        <v>1</v>
      </c>
      <c r="K38">
        <v>2</v>
      </c>
      <c r="L38">
        <v>0</v>
      </c>
      <c r="M38">
        <v>0</v>
      </c>
      <c r="N38">
        <v>1</v>
      </c>
      <c r="O38">
        <f t="shared" ca="1" si="1"/>
        <v>0.92619667932114247</v>
      </c>
      <c r="P38">
        <v>0.94585143484856959</v>
      </c>
      <c r="Q38" t="str">
        <f>IF(ROWS($A$2:A38)&lt;=ROUND(COUNTA($A:$A)*80%,0),"Training","Testing")</f>
        <v>Training</v>
      </c>
    </row>
    <row r="39" spans="1:17">
      <c r="A39">
        <v>4950000</v>
      </c>
      <c r="B39">
        <v>4550</v>
      </c>
      <c r="C39">
        <v>3</v>
      </c>
      <c r="D39">
        <v>2</v>
      </c>
      <c r="E39">
        <v>2</v>
      </c>
      <c r="F39">
        <v>1</v>
      </c>
      <c r="G39">
        <v>0</v>
      </c>
      <c r="H39">
        <v>0</v>
      </c>
      <c r="I39">
        <v>0</v>
      </c>
      <c r="J39">
        <v>1</v>
      </c>
      <c r="K39">
        <v>2</v>
      </c>
      <c r="L39">
        <v>0</v>
      </c>
      <c r="M39">
        <v>0</v>
      </c>
      <c r="N39">
        <v>1</v>
      </c>
      <c r="O39">
        <f t="shared" ca="1" si="1"/>
        <v>0.70498212669766258</v>
      </c>
      <c r="P39">
        <v>0.52446702309097049</v>
      </c>
      <c r="Q39" t="str">
        <f>IF(ROWS($A$2:A39)&lt;=ROUND(COUNTA($A:$A)*80%,0),"Training","Testing")</f>
        <v>Training</v>
      </c>
    </row>
    <row r="40" spans="1:17">
      <c r="A40">
        <v>4050000</v>
      </c>
      <c r="B40">
        <v>3650</v>
      </c>
      <c r="C40">
        <v>3</v>
      </c>
      <c r="D40">
        <v>2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f t="shared" ca="1" si="1"/>
        <v>0.76796004617851643</v>
      </c>
      <c r="P40">
        <v>0.43172683430498093</v>
      </c>
      <c r="Q40" t="str">
        <f>IF(ROWS($A$2:A40)&lt;=ROUND(COUNTA($A:$A)*80%,0),"Training","Testing")</f>
        <v>Training</v>
      </c>
    </row>
    <row r="41" spans="1:17">
      <c r="A41">
        <v>7350000</v>
      </c>
      <c r="B41">
        <v>6700</v>
      </c>
      <c r="C41">
        <v>5</v>
      </c>
      <c r="D41">
        <v>3</v>
      </c>
      <c r="E41">
        <v>3</v>
      </c>
      <c r="F41">
        <v>1</v>
      </c>
      <c r="G41">
        <v>1</v>
      </c>
      <c r="H41">
        <v>1</v>
      </c>
      <c r="I41">
        <v>0</v>
      </c>
      <c r="J41">
        <v>1</v>
      </c>
      <c r="K41">
        <v>3</v>
      </c>
      <c r="L41">
        <v>1</v>
      </c>
      <c r="M41">
        <v>1</v>
      </c>
      <c r="N41">
        <v>0</v>
      </c>
      <c r="O41">
        <f t="shared" ca="1" si="1"/>
        <v>0.89392809857018329</v>
      </c>
      <c r="P41">
        <v>0.5079004367471559</v>
      </c>
      <c r="Q41" t="str">
        <f>IF(ROWS($A$2:A41)&lt;=ROUND(COUNTA($A:$A)*80%,0),"Training","Testing")</f>
        <v>Training</v>
      </c>
    </row>
    <row r="42" spans="1:17">
      <c r="A42">
        <v>3500000</v>
      </c>
      <c r="B42">
        <v>3000</v>
      </c>
      <c r="C42">
        <v>2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f t="shared" ca="1" si="1"/>
        <v>0.60243096472211266</v>
      </c>
      <c r="P42">
        <v>8.4716270087705103E-2</v>
      </c>
      <c r="Q42" t="str">
        <f>IF(ROWS($A$2:A42)&lt;=ROUND(COUNTA($A:$A)*80%,0),"Training","Testing")</f>
        <v>Training</v>
      </c>
    </row>
    <row r="43" spans="1:17">
      <c r="A43">
        <v>4200000</v>
      </c>
      <c r="B43">
        <v>3900</v>
      </c>
      <c r="C43">
        <v>3</v>
      </c>
      <c r="D43">
        <v>2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f t="shared" ca="1" si="1"/>
        <v>0.37233457573850659</v>
      </c>
      <c r="P43">
        <v>0.10546453822239887</v>
      </c>
      <c r="Q43" t="str">
        <f>IF(ROWS($A$2:A43)&lt;=ROUND(COUNTA($A:$A)*80%,0),"Training","Testing")</f>
        <v>Training</v>
      </c>
    </row>
    <row r="44" spans="1:17">
      <c r="A44">
        <v>3650000</v>
      </c>
      <c r="B44">
        <v>3150</v>
      </c>
      <c r="C44">
        <v>2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f t="shared" ca="1" si="1"/>
        <v>0.10086354482509197</v>
      </c>
      <c r="P44">
        <v>0.50781517236031304</v>
      </c>
      <c r="Q44" t="str">
        <f>IF(ROWS($A$2:A44)&lt;=ROUND(COUNTA($A:$A)*80%,0),"Training","Testing")</f>
        <v>Training</v>
      </c>
    </row>
    <row r="45" spans="1:17">
      <c r="A45">
        <v>4150000</v>
      </c>
      <c r="B45">
        <v>3800</v>
      </c>
      <c r="C45">
        <v>3</v>
      </c>
      <c r="D45">
        <v>2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f t="shared" ca="1" si="1"/>
        <v>0.11950631721565064</v>
      </c>
      <c r="P45">
        <v>0.74364437615530044</v>
      </c>
      <c r="Q45" t="str">
        <f>IF(ROWS($A$2:A45)&lt;=ROUND(COUNTA($A:$A)*80%,0),"Training","Testing")</f>
        <v>Training</v>
      </c>
    </row>
    <row r="46" spans="1:17">
      <c r="A46">
        <v>5100000</v>
      </c>
      <c r="B46">
        <v>4750</v>
      </c>
      <c r="C46">
        <v>3</v>
      </c>
      <c r="D46">
        <v>2</v>
      </c>
      <c r="E46">
        <v>2</v>
      </c>
      <c r="F46">
        <v>1</v>
      </c>
      <c r="G46">
        <v>0</v>
      </c>
      <c r="H46">
        <v>1</v>
      </c>
      <c r="I46">
        <v>0</v>
      </c>
      <c r="J46">
        <v>1</v>
      </c>
      <c r="K46">
        <v>2</v>
      </c>
      <c r="L46">
        <v>0</v>
      </c>
      <c r="M46">
        <v>0</v>
      </c>
      <c r="N46">
        <v>1</v>
      </c>
      <c r="O46">
        <f t="shared" ca="1" si="1"/>
        <v>0.13279689327258448</v>
      </c>
      <c r="P46">
        <v>0.48907347248129296</v>
      </c>
      <c r="Q46" t="str">
        <f>IF(ROWS($A$2:A46)&lt;=ROUND(COUNTA($A:$A)*80%,0),"Training","Testing")</f>
        <v>Training</v>
      </c>
    </row>
    <row r="47" spans="1:17">
      <c r="A47">
        <v>6850000</v>
      </c>
      <c r="B47">
        <v>6000</v>
      </c>
      <c r="C47">
        <v>4</v>
      </c>
      <c r="D47">
        <v>2</v>
      </c>
      <c r="E47">
        <v>2</v>
      </c>
      <c r="F47">
        <v>1</v>
      </c>
      <c r="G47">
        <v>1</v>
      </c>
      <c r="H47">
        <v>0</v>
      </c>
      <c r="I47">
        <v>0</v>
      </c>
      <c r="J47">
        <v>1</v>
      </c>
      <c r="K47">
        <v>2</v>
      </c>
      <c r="L47">
        <v>1</v>
      </c>
      <c r="M47">
        <v>1</v>
      </c>
      <c r="N47">
        <v>0</v>
      </c>
      <c r="O47">
        <f t="shared" ca="1" si="1"/>
        <v>0.35200788580489706</v>
      </c>
      <c r="P47">
        <v>0.54551555971831556</v>
      </c>
      <c r="Q47" t="str">
        <f>IF(ROWS($A$2:A47)&lt;=ROUND(COUNTA($A:$A)*80%,0),"Training","Testing")</f>
        <v>Training</v>
      </c>
    </row>
    <row r="48" spans="1:17">
      <c r="A48">
        <v>3650000</v>
      </c>
      <c r="B48">
        <v>3100</v>
      </c>
      <c r="C48">
        <v>2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f t="shared" ca="1" si="1"/>
        <v>0.61903666757919418</v>
      </c>
      <c r="P48">
        <v>6.8126244418359794E-2</v>
      </c>
      <c r="Q48" t="str">
        <f>IF(ROWS($A$2:A48)&lt;=ROUND(COUNTA($A:$A)*80%,0),"Training","Testing")</f>
        <v>Training</v>
      </c>
    </row>
    <row r="49" spans="1:17">
      <c r="A49">
        <v>13100000</v>
      </c>
      <c r="B49">
        <v>6200</v>
      </c>
      <c r="C49">
        <v>4</v>
      </c>
      <c r="D49">
        <v>3</v>
      </c>
      <c r="E49">
        <v>3</v>
      </c>
      <c r="F49">
        <v>1</v>
      </c>
      <c r="G49">
        <v>1</v>
      </c>
      <c r="H49">
        <v>1</v>
      </c>
      <c r="I49">
        <v>0</v>
      </c>
      <c r="J49">
        <v>1</v>
      </c>
      <c r="K49">
        <v>2</v>
      </c>
      <c r="L49">
        <v>1</v>
      </c>
      <c r="M49">
        <v>1</v>
      </c>
      <c r="N49">
        <v>0</v>
      </c>
      <c r="O49">
        <f t="shared" ca="1" si="1"/>
        <v>0.36751633508533688</v>
      </c>
      <c r="P49">
        <v>0.76628090529726023</v>
      </c>
      <c r="Q49" t="str">
        <f>IF(ROWS($A$2:A49)&lt;=ROUND(COUNTA($A:$A)*80%,0),"Training","Testing")</f>
        <v>Training</v>
      </c>
    </row>
    <row r="50" spans="1:17">
      <c r="A50">
        <v>3350000</v>
      </c>
      <c r="B50">
        <v>3000</v>
      </c>
      <c r="C50">
        <v>2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f t="shared" ca="1" si="1"/>
        <v>0.37480590519233992</v>
      </c>
      <c r="P50">
        <v>0.20336114493626256</v>
      </c>
      <c r="Q50" t="str">
        <f>IF(ROWS($A$2:A50)&lt;=ROUND(COUNTA($A:$A)*80%,0),"Training","Testing")</f>
        <v>Training</v>
      </c>
    </row>
    <row r="51" spans="1:17">
      <c r="A51">
        <v>8650000</v>
      </c>
      <c r="B51">
        <v>8000</v>
      </c>
      <c r="C51">
        <v>5</v>
      </c>
      <c r="D51">
        <v>4</v>
      </c>
      <c r="E51">
        <v>3</v>
      </c>
      <c r="F51">
        <v>1</v>
      </c>
      <c r="G51">
        <v>1</v>
      </c>
      <c r="H51">
        <v>1</v>
      </c>
      <c r="I51">
        <v>0</v>
      </c>
      <c r="J51">
        <v>1</v>
      </c>
      <c r="K51">
        <v>3</v>
      </c>
      <c r="L51">
        <v>1</v>
      </c>
      <c r="M51">
        <v>1</v>
      </c>
      <c r="N51">
        <v>0</v>
      </c>
      <c r="O51">
        <f t="shared" ca="1" si="1"/>
        <v>5.1752034764352528E-2</v>
      </c>
      <c r="P51">
        <v>0.17702169806136681</v>
      </c>
      <c r="Q51" t="str">
        <f>IF(ROWS($A$2:A51)&lt;=ROUND(COUNTA($A:$A)*80%,0),"Training","Testing")</f>
        <v>Training</v>
      </c>
    </row>
    <row r="52" spans="1:17">
      <c r="A52">
        <v>4500000</v>
      </c>
      <c r="B52">
        <v>2850</v>
      </c>
      <c r="C52">
        <v>2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f t="shared" ca="1" si="1"/>
        <v>0.33735941112123136</v>
      </c>
      <c r="P52">
        <v>0.82950913421717043</v>
      </c>
      <c r="Q52" t="str">
        <f>IF(ROWS($A$2:A52)&lt;=ROUND(COUNTA($A:$A)*80%,0),"Training","Testing")</f>
        <v>Training</v>
      </c>
    </row>
    <row r="53" spans="1:17">
      <c r="A53">
        <v>6500000</v>
      </c>
      <c r="B53">
        <v>3950</v>
      </c>
      <c r="C53">
        <v>2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f t="shared" ca="1" si="1"/>
        <v>0.62540566710281276</v>
      </c>
      <c r="P53">
        <v>0.24745050281061276</v>
      </c>
      <c r="Q53" t="str">
        <f>IF(ROWS($A$2:A53)&lt;=ROUND(COUNTA($A:$A)*80%,0),"Training","Testing")</f>
        <v>Training</v>
      </c>
    </row>
    <row r="54" spans="1:17">
      <c r="A54">
        <v>5750000</v>
      </c>
      <c r="B54">
        <v>5400</v>
      </c>
      <c r="C54">
        <v>4</v>
      </c>
      <c r="D54">
        <v>2</v>
      </c>
      <c r="E54">
        <v>2</v>
      </c>
      <c r="F54">
        <v>1</v>
      </c>
      <c r="G54">
        <v>1</v>
      </c>
      <c r="H54">
        <v>0</v>
      </c>
      <c r="I54">
        <v>0</v>
      </c>
      <c r="J54">
        <v>1</v>
      </c>
      <c r="K54">
        <v>2</v>
      </c>
      <c r="L54">
        <v>1</v>
      </c>
      <c r="M54">
        <v>1</v>
      </c>
      <c r="N54">
        <v>0</v>
      </c>
      <c r="O54">
        <f t="shared" ca="1" si="1"/>
        <v>0.35007836621602006</v>
      </c>
      <c r="P54">
        <v>0.52620516012967655</v>
      </c>
      <c r="Q54" t="str">
        <f>IF(ROWS($A$2:A54)&lt;=ROUND(COUNTA($A:$A)*80%,0),"Training","Testing")</f>
        <v>Training</v>
      </c>
    </row>
    <row r="55" spans="1:17">
      <c r="A55">
        <v>5500000</v>
      </c>
      <c r="B55">
        <v>5150</v>
      </c>
      <c r="C55">
        <v>3</v>
      </c>
      <c r="D55">
        <v>2</v>
      </c>
      <c r="E55">
        <v>2</v>
      </c>
      <c r="F55">
        <v>1</v>
      </c>
      <c r="G55">
        <v>0</v>
      </c>
      <c r="H55">
        <v>1</v>
      </c>
      <c r="I55">
        <v>0</v>
      </c>
      <c r="J55">
        <v>1</v>
      </c>
      <c r="K55">
        <v>2</v>
      </c>
      <c r="L55">
        <v>0</v>
      </c>
      <c r="M55">
        <v>0</v>
      </c>
      <c r="N55">
        <v>1</v>
      </c>
      <c r="O55">
        <f t="shared" ca="1" si="1"/>
        <v>0.26637484962139346</v>
      </c>
      <c r="P55">
        <v>0.80346505655565392</v>
      </c>
      <c r="Q55" t="str">
        <f>IF(ROWS($A$2:A55)&lt;=ROUND(COUNTA($A:$A)*80%,0),"Training","Testing")</f>
        <v>Training</v>
      </c>
    </row>
    <row r="56" spans="1:17">
      <c r="A56">
        <v>6100000</v>
      </c>
      <c r="B56">
        <v>5800</v>
      </c>
      <c r="C56">
        <v>4</v>
      </c>
      <c r="D56">
        <v>3</v>
      </c>
      <c r="E56">
        <v>2</v>
      </c>
      <c r="F56">
        <v>1</v>
      </c>
      <c r="G56">
        <v>1</v>
      </c>
      <c r="H56">
        <v>0</v>
      </c>
      <c r="I56">
        <v>0</v>
      </c>
      <c r="J56">
        <v>1</v>
      </c>
      <c r="K56">
        <v>2</v>
      </c>
      <c r="L56">
        <v>1</v>
      </c>
      <c r="M56">
        <v>1</v>
      </c>
      <c r="N56">
        <v>0</v>
      </c>
      <c r="O56">
        <f t="shared" ca="1" si="1"/>
        <v>3.8274820787631336E-2</v>
      </c>
      <c r="P56">
        <v>0.53041826530233782</v>
      </c>
      <c r="Q56" t="str">
        <f>IF(ROWS($A$2:A56)&lt;=ROUND(COUNTA($A:$A)*80%,0),"Training","Testing")</f>
        <v>Training</v>
      </c>
    </row>
    <row r="57" spans="1:17">
      <c r="A57">
        <v>8150000</v>
      </c>
      <c r="B57">
        <v>7450</v>
      </c>
      <c r="C57">
        <v>5</v>
      </c>
      <c r="D57">
        <v>4</v>
      </c>
      <c r="E57">
        <v>3</v>
      </c>
      <c r="F57">
        <v>1</v>
      </c>
      <c r="G57">
        <v>1</v>
      </c>
      <c r="H57">
        <v>1</v>
      </c>
      <c r="I57">
        <v>0</v>
      </c>
      <c r="J57">
        <v>1</v>
      </c>
      <c r="K57">
        <v>3</v>
      </c>
      <c r="L57">
        <v>1</v>
      </c>
      <c r="M57">
        <v>1</v>
      </c>
      <c r="N57">
        <v>0</v>
      </c>
      <c r="O57">
        <f t="shared" ca="1" si="1"/>
        <v>0.57440996860117777</v>
      </c>
      <c r="P57">
        <v>1.3287803959816102E-5</v>
      </c>
      <c r="Q57" t="str">
        <f>IF(ROWS($A$2:A57)&lt;=ROUND(COUNTA($A:$A)*80%,0),"Training","Testing")</f>
        <v>Training</v>
      </c>
    </row>
    <row r="58" spans="1:17">
      <c r="A58">
        <v>6950000</v>
      </c>
      <c r="B58">
        <v>6100</v>
      </c>
      <c r="C58">
        <v>4</v>
      </c>
      <c r="D58">
        <v>3</v>
      </c>
      <c r="E58">
        <v>2</v>
      </c>
      <c r="F58">
        <v>1</v>
      </c>
      <c r="G58">
        <v>1</v>
      </c>
      <c r="H58">
        <v>0</v>
      </c>
      <c r="I58">
        <v>0</v>
      </c>
      <c r="J58">
        <v>1</v>
      </c>
      <c r="K58">
        <v>2</v>
      </c>
      <c r="L58">
        <v>1</v>
      </c>
      <c r="M58">
        <v>1</v>
      </c>
      <c r="N58">
        <v>0</v>
      </c>
      <c r="O58">
        <f t="shared" ca="1" si="1"/>
        <v>0.63411250790090812</v>
      </c>
      <c r="P58">
        <v>0.83022493975853051</v>
      </c>
      <c r="Q58" t="str">
        <f>IF(ROWS($A$2:A58)&lt;=ROUND(COUNTA($A:$A)*80%,0),"Training","Testing")</f>
        <v>Training</v>
      </c>
    </row>
    <row r="59" spans="1:17">
      <c r="A59">
        <v>4350000</v>
      </c>
      <c r="B59">
        <v>4050</v>
      </c>
      <c r="C59">
        <v>3</v>
      </c>
      <c r="D59">
        <v>2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f t="shared" ca="1" si="1"/>
        <v>0.68822531435765022</v>
      </c>
      <c r="P59">
        <v>0.6578316206589816</v>
      </c>
      <c r="Q59" t="str">
        <f>IF(ROWS($A$2:A59)&lt;=ROUND(COUNTA($A:$A)*80%,0),"Training","Testing")</f>
        <v>Training</v>
      </c>
    </row>
    <row r="60" spans="1:17">
      <c r="A60">
        <v>5350000</v>
      </c>
      <c r="B60">
        <v>5000</v>
      </c>
      <c r="C60">
        <v>3</v>
      </c>
      <c r="D60">
        <v>2</v>
      </c>
      <c r="E60">
        <v>2</v>
      </c>
      <c r="F60">
        <v>1</v>
      </c>
      <c r="G60">
        <v>0</v>
      </c>
      <c r="H60">
        <v>0</v>
      </c>
      <c r="I60">
        <v>0</v>
      </c>
      <c r="J60">
        <v>1</v>
      </c>
      <c r="K60">
        <v>2</v>
      </c>
      <c r="L60">
        <v>0</v>
      </c>
      <c r="M60">
        <v>0</v>
      </c>
      <c r="N60">
        <v>1</v>
      </c>
      <c r="O60">
        <f t="shared" ca="1" si="1"/>
        <v>0.17892593133167112</v>
      </c>
      <c r="P60">
        <v>0.22086214031658136</v>
      </c>
      <c r="Q60" t="str">
        <f>IF(ROWS($A$2:A60)&lt;=ROUND(COUNTA($A:$A)*80%,0),"Training","Testing")</f>
        <v>Training</v>
      </c>
    </row>
    <row r="61" spans="1:17">
      <c r="A61">
        <v>5450000</v>
      </c>
      <c r="B61">
        <v>5100</v>
      </c>
      <c r="C61">
        <v>3</v>
      </c>
      <c r="D61">
        <v>2</v>
      </c>
      <c r="E61">
        <v>2</v>
      </c>
      <c r="F61">
        <v>1</v>
      </c>
      <c r="G61">
        <v>1</v>
      </c>
      <c r="H61">
        <v>0</v>
      </c>
      <c r="I61">
        <v>0</v>
      </c>
      <c r="J61">
        <v>1</v>
      </c>
      <c r="K61">
        <v>2</v>
      </c>
      <c r="L61">
        <v>1</v>
      </c>
      <c r="M61">
        <v>1</v>
      </c>
      <c r="N61">
        <v>0</v>
      </c>
      <c r="O61">
        <f t="shared" ca="1" si="1"/>
        <v>0.74931869780150384</v>
      </c>
      <c r="P61">
        <v>0.62863934421235279</v>
      </c>
      <c r="Q61" t="str">
        <f>IF(ROWS($A$2:A61)&lt;=ROUND(COUNTA($A:$A)*80%,0),"Training","Testing")</f>
        <v>Training</v>
      </c>
    </row>
    <row r="62" spans="1:17">
      <c r="A62">
        <v>4300000</v>
      </c>
      <c r="B62">
        <v>3950</v>
      </c>
      <c r="C62">
        <v>3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f t="shared" ca="1" si="1"/>
        <v>0.29923612905744412</v>
      </c>
      <c r="P62">
        <v>9.3551182116238474E-2</v>
      </c>
      <c r="Q62" t="str">
        <f>IF(ROWS($A$2:A62)&lt;=ROUND(COUNTA($A:$A)*80%,0),"Training","Testing")</f>
        <v>Training</v>
      </c>
    </row>
    <row r="63" spans="1:17">
      <c r="A63">
        <v>6400000</v>
      </c>
      <c r="B63">
        <v>5700</v>
      </c>
      <c r="C63">
        <v>4</v>
      </c>
      <c r="D63">
        <v>2</v>
      </c>
      <c r="E63">
        <v>2</v>
      </c>
      <c r="F63">
        <v>1</v>
      </c>
      <c r="G63">
        <v>1</v>
      </c>
      <c r="H63">
        <v>0</v>
      </c>
      <c r="I63">
        <v>0</v>
      </c>
      <c r="J63">
        <v>1</v>
      </c>
      <c r="K63">
        <v>2</v>
      </c>
      <c r="L63">
        <v>1</v>
      </c>
      <c r="M63">
        <v>1</v>
      </c>
      <c r="N63">
        <v>0</v>
      </c>
      <c r="O63">
        <f t="shared" ca="1" si="1"/>
        <v>0.71954723183137381</v>
      </c>
      <c r="P63">
        <v>0.31290206047186919</v>
      </c>
      <c r="Q63" t="str">
        <f>IF(ROWS($A$2:A63)&lt;=ROUND(COUNTA($A:$A)*80%,0),"Training","Testing")</f>
        <v>Training</v>
      </c>
    </row>
    <row r="64" spans="1:17">
      <c r="A64">
        <v>6150000</v>
      </c>
      <c r="B64">
        <v>5750</v>
      </c>
      <c r="C64">
        <v>4</v>
      </c>
      <c r="D64">
        <v>3</v>
      </c>
      <c r="E64">
        <v>2</v>
      </c>
      <c r="F64">
        <v>1</v>
      </c>
      <c r="G64">
        <v>1</v>
      </c>
      <c r="H64">
        <v>0</v>
      </c>
      <c r="I64">
        <v>0</v>
      </c>
      <c r="J64">
        <v>1</v>
      </c>
      <c r="K64">
        <v>2</v>
      </c>
      <c r="L64">
        <v>1</v>
      </c>
      <c r="M64">
        <v>1</v>
      </c>
      <c r="N64">
        <v>0</v>
      </c>
      <c r="O64">
        <f t="shared" ca="1" si="1"/>
        <v>0.90272733382172343</v>
      </c>
      <c r="P64">
        <v>0.98323276519208913</v>
      </c>
      <c r="Q64" t="str">
        <f>IF(ROWS($A$2:A64)&lt;=ROUND(COUNTA($A:$A)*80%,0),"Training","Testing")</f>
        <v>Training</v>
      </c>
    </row>
    <row r="65" spans="1:17">
      <c r="A65">
        <v>3600000</v>
      </c>
      <c r="B65">
        <v>3100</v>
      </c>
      <c r="C65">
        <v>2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f t="shared" ca="1" si="1"/>
        <v>0.55420314432964557</v>
      </c>
      <c r="P65">
        <v>2.7457247418293251E-2</v>
      </c>
      <c r="Q65" t="str">
        <f>IF(ROWS($A$2:A65)&lt;=ROUND(COUNTA($A:$A)*80%,0),"Training","Testing")</f>
        <v>Training</v>
      </c>
    </row>
    <row r="66" spans="1:17">
      <c r="A66">
        <v>4050000</v>
      </c>
      <c r="B66">
        <v>3700</v>
      </c>
      <c r="C66">
        <v>3</v>
      </c>
      <c r="D66">
        <v>2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f t="shared" ref="O66:O97" ca="1" si="2">RAND()</f>
        <v>0.46065595581112906</v>
      </c>
      <c r="P66">
        <v>0.29747690608320498</v>
      </c>
      <c r="Q66" t="str">
        <f>IF(ROWS($A$2:A66)&lt;=ROUND(COUNTA($A:$A)*80%,0),"Training","Testing")</f>
        <v>Training</v>
      </c>
    </row>
    <row r="67" spans="1:17">
      <c r="A67">
        <v>6100000</v>
      </c>
      <c r="B67">
        <v>3700</v>
      </c>
      <c r="C67">
        <v>2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f t="shared" ca="1" si="2"/>
        <v>4.1074057582147883E-2</v>
      </c>
      <c r="P67">
        <v>0.74249781055892572</v>
      </c>
      <c r="Q67" t="str">
        <f>IF(ROWS($A$2:A67)&lt;=ROUND(COUNTA($A:$A)*80%,0),"Training","Testing")</f>
        <v>Training</v>
      </c>
    </row>
    <row r="68" spans="1:17">
      <c r="A68">
        <v>5450000</v>
      </c>
      <c r="B68">
        <v>5100</v>
      </c>
      <c r="C68">
        <v>3</v>
      </c>
      <c r="D68">
        <v>2</v>
      </c>
      <c r="E68">
        <v>2</v>
      </c>
      <c r="F68">
        <v>1</v>
      </c>
      <c r="G68">
        <v>0</v>
      </c>
      <c r="H68">
        <v>0</v>
      </c>
      <c r="I68">
        <v>0</v>
      </c>
      <c r="J68">
        <v>1</v>
      </c>
      <c r="K68">
        <v>2</v>
      </c>
      <c r="L68">
        <v>0</v>
      </c>
      <c r="M68">
        <v>0</v>
      </c>
      <c r="N68">
        <v>1</v>
      </c>
      <c r="O68">
        <f t="shared" ca="1" si="2"/>
        <v>0.50518523795383097</v>
      </c>
      <c r="P68">
        <v>6.1421578565005297E-2</v>
      </c>
      <c r="Q68" t="str">
        <f>IF(ROWS($A$2:A68)&lt;=ROUND(COUNTA($A:$A)*80%,0),"Training","Testing")</f>
        <v>Training</v>
      </c>
    </row>
    <row r="69" spans="1:17">
      <c r="A69">
        <v>5750000</v>
      </c>
      <c r="B69">
        <v>5400</v>
      </c>
      <c r="C69">
        <v>4</v>
      </c>
      <c r="D69">
        <v>2</v>
      </c>
      <c r="E69">
        <v>2</v>
      </c>
      <c r="F69">
        <v>1</v>
      </c>
      <c r="G69">
        <v>0</v>
      </c>
      <c r="H69">
        <v>1</v>
      </c>
      <c r="I69">
        <v>0</v>
      </c>
      <c r="J69">
        <v>1</v>
      </c>
      <c r="K69">
        <v>2</v>
      </c>
      <c r="L69">
        <v>0</v>
      </c>
      <c r="M69">
        <v>0</v>
      </c>
      <c r="N69">
        <v>1</v>
      </c>
      <c r="O69">
        <f t="shared" ca="1" si="2"/>
        <v>0.9948458676960481</v>
      </c>
      <c r="P69">
        <v>0.32448128457758074</v>
      </c>
      <c r="Q69" t="str">
        <f>IF(ROWS($A$2:A69)&lt;=ROUND(COUNTA($A:$A)*80%,0),"Training","Testing")</f>
        <v>Training</v>
      </c>
    </row>
    <row r="70" spans="1:17">
      <c r="A70">
        <v>6400000</v>
      </c>
      <c r="B70">
        <v>6000</v>
      </c>
      <c r="C70">
        <v>4</v>
      </c>
      <c r="D70">
        <v>3</v>
      </c>
      <c r="E70">
        <v>2</v>
      </c>
      <c r="F70">
        <v>1</v>
      </c>
      <c r="G70">
        <v>1</v>
      </c>
      <c r="H70">
        <v>0</v>
      </c>
      <c r="I70">
        <v>0</v>
      </c>
      <c r="J70">
        <v>1</v>
      </c>
      <c r="K70">
        <v>2</v>
      </c>
      <c r="L70">
        <v>1</v>
      </c>
      <c r="M70">
        <v>1</v>
      </c>
      <c r="N70">
        <v>0</v>
      </c>
      <c r="O70">
        <f t="shared" ca="1" si="2"/>
        <v>0.94006658422492417</v>
      </c>
      <c r="P70">
        <v>0.35575936012827858</v>
      </c>
      <c r="Q70" t="str">
        <f>IF(ROWS($A$2:A70)&lt;=ROUND(COUNTA($A:$A)*80%,0),"Training","Testing")</f>
        <v>Training</v>
      </c>
    </row>
    <row r="71" spans="1:17">
      <c r="A71">
        <v>7050000</v>
      </c>
      <c r="B71">
        <v>6450</v>
      </c>
      <c r="C71">
        <v>5</v>
      </c>
      <c r="D71">
        <v>3</v>
      </c>
      <c r="E71">
        <v>3</v>
      </c>
      <c r="F71">
        <v>1</v>
      </c>
      <c r="G71">
        <v>1</v>
      </c>
      <c r="H71">
        <v>1</v>
      </c>
      <c r="I71">
        <v>0</v>
      </c>
      <c r="J71">
        <v>1</v>
      </c>
      <c r="K71">
        <v>3</v>
      </c>
      <c r="L71">
        <v>1</v>
      </c>
      <c r="M71">
        <v>1</v>
      </c>
      <c r="N71">
        <v>0</v>
      </c>
      <c r="O71">
        <f t="shared" ca="1" si="2"/>
        <v>0.22926867576477972</v>
      </c>
      <c r="P71">
        <v>0.39469843478851818</v>
      </c>
      <c r="Q71" t="str">
        <f>IF(ROWS($A$2:A71)&lt;=ROUND(COUNTA($A:$A)*80%,0),"Training","Testing")</f>
        <v>Training</v>
      </c>
    </row>
    <row r="72" spans="1:17">
      <c r="A72">
        <v>3850000</v>
      </c>
      <c r="B72">
        <v>3350</v>
      </c>
      <c r="C72">
        <v>2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f t="shared" ca="1" si="2"/>
        <v>0.15276766241178308</v>
      </c>
      <c r="P72">
        <v>0.78384349457227276</v>
      </c>
      <c r="Q72" t="str">
        <f>IF(ROWS($A$2:A72)&lt;=ROUND(COUNTA($A:$A)*80%,0),"Training","Testing")</f>
        <v>Training</v>
      </c>
    </row>
    <row r="73" spans="1:17">
      <c r="A73">
        <v>10100000</v>
      </c>
      <c r="B73">
        <v>5100</v>
      </c>
      <c r="C73">
        <v>3</v>
      </c>
      <c r="D73">
        <v>2</v>
      </c>
      <c r="E73">
        <v>2</v>
      </c>
      <c r="F73">
        <v>1</v>
      </c>
      <c r="G73">
        <v>0</v>
      </c>
      <c r="H73">
        <v>0</v>
      </c>
      <c r="I73">
        <v>0</v>
      </c>
      <c r="J73">
        <v>1</v>
      </c>
      <c r="K73">
        <v>2</v>
      </c>
      <c r="L73">
        <v>0</v>
      </c>
      <c r="M73">
        <v>0</v>
      </c>
      <c r="N73">
        <v>1</v>
      </c>
      <c r="O73">
        <f t="shared" ca="1" si="2"/>
        <v>0.37691210157267996</v>
      </c>
      <c r="P73">
        <v>0.17111923592414358</v>
      </c>
      <c r="Q73" t="str">
        <f>IF(ROWS($A$2:A73)&lt;=ROUND(COUNTA($A:$A)*80%,0),"Training","Testing")</f>
        <v>Training</v>
      </c>
    </row>
    <row r="74" spans="1:17">
      <c r="A74">
        <v>6150000</v>
      </c>
      <c r="B74">
        <v>5900</v>
      </c>
      <c r="C74">
        <v>4</v>
      </c>
      <c r="D74">
        <v>3</v>
      </c>
      <c r="E74">
        <v>2</v>
      </c>
      <c r="F74">
        <v>1</v>
      </c>
      <c r="G74">
        <v>1</v>
      </c>
      <c r="H74">
        <v>1</v>
      </c>
      <c r="I74">
        <v>0</v>
      </c>
      <c r="J74">
        <v>1</v>
      </c>
      <c r="K74">
        <v>2</v>
      </c>
      <c r="L74">
        <v>1</v>
      </c>
      <c r="M74">
        <v>1</v>
      </c>
      <c r="N74">
        <v>0</v>
      </c>
      <c r="O74">
        <f t="shared" ca="1" si="2"/>
        <v>0.92818599395617141</v>
      </c>
      <c r="P74">
        <v>0.15926996359064038</v>
      </c>
      <c r="Q74" t="str">
        <f>IF(ROWS($A$2:A74)&lt;=ROUND(COUNTA($A:$A)*80%,0),"Training","Testing")</f>
        <v>Training</v>
      </c>
    </row>
    <row r="75" spans="1:17">
      <c r="A75">
        <v>5050000</v>
      </c>
      <c r="B75">
        <v>4650</v>
      </c>
      <c r="C75">
        <v>3</v>
      </c>
      <c r="D75">
        <v>2</v>
      </c>
      <c r="E75">
        <v>2</v>
      </c>
      <c r="F75">
        <v>1</v>
      </c>
      <c r="G75">
        <v>0</v>
      </c>
      <c r="H75">
        <v>0</v>
      </c>
      <c r="I75">
        <v>0</v>
      </c>
      <c r="J75">
        <v>1</v>
      </c>
      <c r="K75">
        <v>2</v>
      </c>
      <c r="L75">
        <v>0</v>
      </c>
      <c r="M75">
        <v>0</v>
      </c>
      <c r="N75">
        <v>1</v>
      </c>
      <c r="O75">
        <f t="shared" ca="1" si="2"/>
        <v>0.44539419958447879</v>
      </c>
      <c r="P75">
        <v>0.55184118737138821</v>
      </c>
      <c r="Q75" t="str">
        <f>IF(ROWS($A$2:A75)&lt;=ROUND(COUNTA($A:$A)*80%,0),"Training","Testing")</f>
        <v>Training</v>
      </c>
    </row>
    <row r="76" spans="1:17">
      <c r="A76">
        <v>5200000</v>
      </c>
      <c r="B76">
        <v>4850</v>
      </c>
      <c r="C76">
        <v>3</v>
      </c>
      <c r="D76">
        <v>2</v>
      </c>
      <c r="E76">
        <v>2</v>
      </c>
      <c r="F76">
        <v>1</v>
      </c>
      <c r="G76">
        <v>0</v>
      </c>
      <c r="H76">
        <v>1</v>
      </c>
      <c r="I76">
        <v>0</v>
      </c>
      <c r="J76">
        <v>1</v>
      </c>
      <c r="K76">
        <v>2</v>
      </c>
      <c r="L76">
        <v>0</v>
      </c>
      <c r="M76">
        <v>0</v>
      </c>
      <c r="N76">
        <v>1</v>
      </c>
      <c r="O76">
        <f t="shared" ca="1" si="2"/>
        <v>0.35720472492022304</v>
      </c>
      <c r="P76">
        <v>0.83907124749443451</v>
      </c>
      <c r="Q76" t="str">
        <f>IF(ROWS($A$2:A76)&lt;=ROUND(COUNTA($A:$A)*80%,0),"Training","Testing")</f>
        <v>Training</v>
      </c>
    </row>
    <row r="77" spans="1:17">
      <c r="A77">
        <v>6350000</v>
      </c>
      <c r="B77">
        <v>5900</v>
      </c>
      <c r="C77">
        <v>4</v>
      </c>
      <c r="D77">
        <v>3</v>
      </c>
      <c r="E77">
        <v>2</v>
      </c>
      <c r="F77">
        <v>1</v>
      </c>
      <c r="G77">
        <v>1</v>
      </c>
      <c r="H77">
        <v>0</v>
      </c>
      <c r="I77">
        <v>0</v>
      </c>
      <c r="J77">
        <v>1</v>
      </c>
      <c r="K77">
        <v>2</v>
      </c>
      <c r="L77">
        <v>1</v>
      </c>
      <c r="M77">
        <v>1</v>
      </c>
      <c r="N77">
        <v>0</v>
      </c>
      <c r="O77">
        <f t="shared" ca="1" si="2"/>
        <v>0.10296376793802231</v>
      </c>
      <c r="P77">
        <v>0.50964839360683667</v>
      </c>
      <c r="Q77" t="str">
        <f>IF(ROWS($A$2:A77)&lt;=ROUND(COUNTA($A:$A)*80%,0),"Training","Testing")</f>
        <v>Training</v>
      </c>
    </row>
    <row r="78" spans="1:17">
      <c r="A78">
        <v>5450000</v>
      </c>
      <c r="B78">
        <v>5100</v>
      </c>
      <c r="C78">
        <v>4</v>
      </c>
      <c r="D78">
        <v>2</v>
      </c>
      <c r="E78">
        <v>2</v>
      </c>
      <c r="F78">
        <v>1</v>
      </c>
      <c r="G78">
        <v>0</v>
      </c>
      <c r="H78">
        <v>1</v>
      </c>
      <c r="I78">
        <v>0</v>
      </c>
      <c r="J78">
        <v>1</v>
      </c>
      <c r="K78">
        <v>2</v>
      </c>
      <c r="L78">
        <v>0</v>
      </c>
      <c r="M78">
        <v>0</v>
      </c>
      <c r="N78">
        <v>1</v>
      </c>
      <c r="O78">
        <f t="shared" ca="1" si="2"/>
        <v>0.54042210897583121</v>
      </c>
      <c r="P78">
        <v>0.97385530517407393</v>
      </c>
      <c r="Q78" t="str">
        <f>IF(ROWS($A$2:A78)&lt;=ROUND(COUNTA($A:$A)*80%,0),"Training","Testing")</f>
        <v>Training</v>
      </c>
    </row>
    <row r="79" spans="1:17">
      <c r="A79">
        <v>5150000</v>
      </c>
      <c r="B79">
        <v>4750</v>
      </c>
      <c r="C79">
        <v>3</v>
      </c>
      <c r="D79">
        <v>2</v>
      </c>
      <c r="E79">
        <v>2</v>
      </c>
      <c r="F79">
        <v>1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>
        <v>0</v>
      </c>
      <c r="N79">
        <v>1</v>
      </c>
      <c r="O79">
        <f t="shared" ca="1" si="2"/>
        <v>0.6887409213028155</v>
      </c>
      <c r="P79">
        <v>0.67567208863620298</v>
      </c>
      <c r="Q79" t="str">
        <f>IF(ROWS($A$2:A79)&lt;=ROUND(COUNTA($A:$A)*80%,0),"Training","Testing")</f>
        <v>Training</v>
      </c>
    </row>
    <row r="80" spans="1:17">
      <c r="A80">
        <v>4250000</v>
      </c>
      <c r="B80">
        <v>3900</v>
      </c>
      <c r="C80">
        <v>3</v>
      </c>
      <c r="D80">
        <v>2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f t="shared" ca="1" si="2"/>
        <v>0.13014592749666365</v>
      </c>
      <c r="P80">
        <v>0.63205305181916183</v>
      </c>
      <c r="Q80" t="str">
        <f>IF(ROWS($A$2:A80)&lt;=ROUND(COUNTA($A:$A)*80%,0),"Training","Testing")</f>
        <v>Training</v>
      </c>
    </row>
    <row r="81" spans="1:17">
      <c r="A81">
        <v>4250000</v>
      </c>
      <c r="B81">
        <v>3950</v>
      </c>
      <c r="C81">
        <v>3</v>
      </c>
      <c r="D81">
        <v>2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f t="shared" ca="1" si="2"/>
        <v>0.16581902150259631</v>
      </c>
      <c r="P81">
        <v>0.35278762823429821</v>
      </c>
      <c r="Q81" t="str">
        <f>IF(ROWS($A$2:A81)&lt;=ROUND(COUNTA($A:$A)*80%,0),"Training","Testing")</f>
        <v>Training</v>
      </c>
    </row>
    <row r="82" spans="1:17">
      <c r="A82">
        <v>4950000</v>
      </c>
      <c r="B82">
        <v>4550</v>
      </c>
      <c r="C82">
        <v>3</v>
      </c>
      <c r="D82">
        <v>2</v>
      </c>
      <c r="E82">
        <v>2</v>
      </c>
      <c r="F82">
        <v>1</v>
      </c>
      <c r="G82">
        <v>0</v>
      </c>
      <c r="H82">
        <v>1</v>
      </c>
      <c r="I82">
        <v>0</v>
      </c>
      <c r="J82">
        <v>1</v>
      </c>
      <c r="K82">
        <v>2</v>
      </c>
      <c r="L82">
        <v>0</v>
      </c>
      <c r="M82">
        <v>0</v>
      </c>
      <c r="N82">
        <v>1</v>
      </c>
      <c r="O82">
        <f t="shared" ca="1" si="2"/>
        <v>0.35292913206251264</v>
      </c>
      <c r="P82">
        <v>0.50200879042764135</v>
      </c>
      <c r="Q82" t="str">
        <f>IF(ROWS($A$2:A82)&lt;=ROUND(COUNTA($A:$A)*80%,0),"Training","Testing")</f>
        <v>Training</v>
      </c>
    </row>
    <row r="83" spans="1:17">
      <c r="A83">
        <v>6650000</v>
      </c>
      <c r="B83">
        <v>6150</v>
      </c>
      <c r="C83">
        <v>4</v>
      </c>
      <c r="D83">
        <v>3</v>
      </c>
      <c r="E83">
        <v>2</v>
      </c>
      <c r="F83">
        <v>1</v>
      </c>
      <c r="G83">
        <v>1</v>
      </c>
      <c r="H83">
        <v>0</v>
      </c>
      <c r="I83">
        <v>0</v>
      </c>
      <c r="J83">
        <v>1</v>
      </c>
      <c r="K83">
        <v>2</v>
      </c>
      <c r="L83">
        <v>1</v>
      </c>
      <c r="M83">
        <v>1</v>
      </c>
      <c r="N83">
        <v>0</v>
      </c>
      <c r="O83">
        <f t="shared" ca="1" si="2"/>
        <v>0.45711453030197347</v>
      </c>
      <c r="P83">
        <v>0.97273949032993212</v>
      </c>
      <c r="Q83" t="str">
        <f>IF(ROWS($A$2:A83)&lt;=ROUND(COUNTA($A:$A)*80%,0),"Training","Testing")</f>
        <v>Training</v>
      </c>
    </row>
    <row r="84" spans="1:17">
      <c r="A84">
        <v>7400000</v>
      </c>
      <c r="B84">
        <v>6750</v>
      </c>
      <c r="C84">
        <v>5</v>
      </c>
      <c r="D84">
        <v>3</v>
      </c>
      <c r="E84">
        <v>3</v>
      </c>
      <c r="F84">
        <v>1</v>
      </c>
      <c r="G84">
        <v>1</v>
      </c>
      <c r="H84">
        <v>0</v>
      </c>
      <c r="I84">
        <v>0</v>
      </c>
      <c r="J84">
        <v>1</v>
      </c>
      <c r="K84">
        <v>3</v>
      </c>
      <c r="L84">
        <v>1</v>
      </c>
      <c r="M84">
        <v>1</v>
      </c>
      <c r="N84">
        <v>0</v>
      </c>
      <c r="O84">
        <f t="shared" ca="1" si="2"/>
        <v>0.62137589495874057</v>
      </c>
      <c r="P84">
        <v>0.75188629354092495</v>
      </c>
      <c r="Q84" t="str">
        <f>IF(ROWS($A$2:A84)&lt;=ROUND(COUNTA($A:$A)*80%,0),"Training","Testing")</f>
        <v>Training</v>
      </c>
    </row>
    <row r="85" spans="1:17">
      <c r="A85">
        <v>5850000</v>
      </c>
      <c r="B85">
        <v>5450</v>
      </c>
      <c r="C85">
        <v>4</v>
      </c>
      <c r="D85">
        <v>2</v>
      </c>
      <c r="E85">
        <v>2</v>
      </c>
      <c r="F85">
        <v>1</v>
      </c>
      <c r="G85">
        <v>0</v>
      </c>
      <c r="H85">
        <v>1</v>
      </c>
      <c r="I85">
        <v>0</v>
      </c>
      <c r="J85">
        <v>1</v>
      </c>
      <c r="K85">
        <v>2</v>
      </c>
      <c r="L85">
        <v>0</v>
      </c>
      <c r="M85">
        <v>0</v>
      </c>
      <c r="N85">
        <v>1</v>
      </c>
      <c r="O85">
        <f t="shared" ca="1" si="2"/>
        <v>0.86851441825405096</v>
      </c>
      <c r="P85">
        <v>0.18175937354428084</v>
      </c>
      <c r="Q85" t="str">
        <f>IF(ROWS($A$2:A85)&lt;=ROUND(COUNTA($A:$A)*80%,0),"Training","Testing")</f>
        <v>Training</v>
      </c>
    </row>
    <row r="86" spans="1:17">
      <c r="A86">
        <v>3850000</v>
      </c>
      <c r="B86">
        <v>3400</v>
      </c>
      <c r="C86">
        <v>2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f t="shared" ca="1" si="2"/>
        <v>0.79183990470728771</v>
      </c>
      <c r="P86">
        <v>0.88330655089238286</v>
      </c>
      <c r="Q86" t="str">
        <f>IF(ROWS($A$2:A86)&lt;=ROUND(COUNTA($A:$A)*80%,0),"Training","Testing")</f>
        <v>Training</v>
      </c>
    </row>
    <row r="87" spans="1:17">
      <c r="A87">
        <v>4850000</v>
      </c>
      <c r="B87">
        <v>4450</v>
      </c>
      <c r="C87">
        <v>3</v>
      </c>
      <c r="D87">
        <v>2</v>
      </c>
      <c r="E87">
        <v>2</v>
      </c>
      <c r="F87">
        <v>1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0</v>
      </c>
      <c r="N87">
        <v>1</v>
      </c>
      <c r="O87">
        <f t="shared" ca="1" si="2"/>
        <v>0.27075728780659092</v>
      </c>
      <c r="P87">
        <v>0.7003531016144624</v>
      </c>
      <c r="Q87" t="str">
        <f>IF(ROWS($A$2:A87)&lt;=ROUND(COUNTA($A:$A)*80%,0),"Training","Testing")</f>
        <v>Training</v>
      </c>
    </row>
    <row r="88" spans="1:17">
      <c r="A88">
        <v>8600000</v>
      </c>
      <c r="B88">
        <v>7900</v>
      </c>
      <c r="C88">
        <v>5</v>
      </c>
      <c r="D88">
        <v>4</v>
      </c>
      <c r="E88">
        <v>3</v>
      </c>
      <c r="F88">
        <v>1</v>
      </c>
      <c r="G88">
        <v>1</v>
      </c>
      <c r="H88">
        <v>1</v>
      </c>
      <c r="I88">
        <v>0</v>
      </c>
      <c r="J88">
        <v>1</v>
      </c>
      <c r="K88">
        <v>3</v>
      </c>
      <c r="L88">
        <v>1</v>
      </c>
      <c r="M88">
        <v>1</v>
      </c>
      <c r="N88">
        <v>0</v>
      </c>
      <c r="O88">
        <f t="shared" ca="1" si="2"/>
        <v>0.29267751577545476</v>
      </c>
      <c r="P88">
        <v>9.7953851191490582E-2</v>
      </c>
      <c r="Q88" t="str">
        <f>IF(ROWS($A$2:A88)&lt;=ROUND(COUNTA($A:$A)*80%,0),"Training","Testing")</f>
        <v>Training</v>
      </c>
    </row>
    <row r="89" spans="1:17">
      <c r="A89">
        <v>5400000</v>
      </c>
      <c r="B89">
        <v>5050</v>
      </c>
      <c r="C89">
        <v>3</v>
      </c>
      <c r="D89">
        <v>2</v>
      </c>
      <c r="E89">
        <v>2</v>
      </c>
      <c r="F89">
        <v>1</v>
      </c>
      <c r="G89">
        <v>0</v>
      </c>
      <c r="H89">
        <v>0</v>
      </c>
      <c r="I89">
        <v>0</v>
      </c>
      <c r="J89">
        <v>1</v>
      </c>
      <c r="K89">
        <v>2</v>
      </c>
      <c r="L89">
        <v>0</v>
      </c>
      <c r="M89">
        <v>0</v>
      </c>
      <c r="N89">
        <v>1</v>
      </c>
      <c r="O89">
        <f t="shared" ca="1" si="2"/>
        <v>0.40783454065295144</v>
      </c>
      <c r="P89">
        <v>0.75783042635592845</v>
      </c>
      <c r="Q89" t="str">
        <f>IF(ROWS($A$2:A89)&lt;=ROUND(COUNTA($A:$A)*80%,0),"Training","Testing")</f>
        <v>Training</v>
      </c>
    </row>
    <row r="90" spans="1:17">
      <c r="A90">
        <v>7850000</v>
      </c>
      <c r="B90">
        <v>7200</v>
      </c>
      <c r="C90">
        <v>5</v>
      </c>
      <c r="D90">
        <v>3</v>
      </c>
      <c r="E90">
        <v>3</v>
      </c>
      <c r="F90">
        <v>1</v>
      </c>
      <c r="G90">
        <v>1</v>
      </c>
      <c r="H90">
        <v>1</v>
      </c>
      <c r="I90">
        <v>0</v>
      </c>
      <c r="J90">
        <v>1</v>
      </c>
      <c r="K90">
        <v>3</v>
      </c>
      <c r="L90">
        <v>1</v>
      </c>
      <c r="M90">
        <v>1</v>
      </c>
      <c r="N90">
        <v>0</v>
      </c>
      <c r="O90">
        <f t="shared" ca="1" si="2"/>
        <v>0.64484172288621855</v>
      </c>
      <c r="P90">
        <v>0.21296428949790036</v>
      </c>
      <c r="Q90" t="str">
        <f>IF(ROWS($A$2:A90)&lt;=ROUND(COUNTA($A:$A)*80%,0),"Training","Testing")</f>
        <v>Training</v>
      </c>
    </row>
    <row r="91" spans="1:17">
      <c r="A91">
        <v>6950000</v>
      </c>
      <c r="B91">
        <v>6350</v>
      </c>
      <c r="C91">
        <v>4</v>
      </c>
      <c r="D91">
        <v>3</v>
      </c>
      <c r="E91">
        <v>2</v>
      </c>
      <c r="F91">
        <v>1</v>
      </c>
      <c r="G91">
        <v>1</v>
      </c>
      <c r="H91">
        <v>0</v>
      </c>
      <c r="I91">
        <v>0</v>
      </c>
      <c r="J91">
        <v>1</v>
      </c>
      <c r="K91">
        <v>2</v>
      </c>
      <c r="L91">
        <v>1</v>
      </c>
      <c r="M91">
        <v>1</v>
      </c>
      <c r="N91">
        <v>0</v>
      </c>
      <c r="O91">
        <f t="shared" ca="1" si="2"/>
        <v>0.63520395956235853</v>
      </c>
      <c r="P91">
        <v>0.31852409388559544</v>
      </c>
      <c r="Q91" t="str">
        <f>IF(ROWS($A$2:A91)&lt;=ROUND(COUNTA($A:$A)*80%,0),"Training","Testing")</f>
        <v>Training</v>
      </c>
    </row>
    <row r="92" spans="1:17">
      <c r="A92">
        <v>4350000</v>
      </c>
      <c r="B92">
        <v>4000</v>
      </c>
      <c r="C92">
        <v>3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f t="shared" ca="1" si="2"/>
        <v>0.74580309118666521</v>
      </c>
      <c r="P92">
        <v>0.64341004405223845</v>
      </c>
      <c r="Q92" t="str">
        <f>IF(ROWS($A$2:A92)&lt;=ROUND(COUNTA($A:$A)*80%,0),"Training","Testing")</f>
        <v>Training</v>
      </c>
    </row>
    <row r="93" spans="1:17">
      <c r="A93">
        <v>4450000</v>
      </c>
      <c r="B93">
        <v>4150</v>
      </c>
      <c r="C93">
        <v>3</v>
      </c>
      <c r="D93">
        <v>2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1</v>
      </c>
      <c r="O93">
        <f t="shared" ca="1" si="2"/>
        <v>0.62364340224152059</v>
      </c>
      <c r="P93">
        <v>2.3715861203281174E-2</v>
      </c>
      <c r="Q93" t="str">
        <f>IF(ROWS($A$2:A93)&lt;=ROUND(COUNTA($A:$A)*80%,0),"Training","Testing")</f>
        <v>Training</v>
      </c>
    </row>
    <row r="94" spans="1:17">
      <c r="A94">
        <v>12200000</v>
      </c>
      <c r="B94">
        <v>7420</v>
      </c>
      <c r="C94">
        <v>4</v>
      </c>
      <c r="D94">
        <v>1</v>
      </c>
      <c r="E94">
        <v>2</v>
      </c>
      <c r="F94">
        <v>1</v>
      </c>
      <c r="G94">
        <v>1</v>
      </c>
      <c r="H94">
        <v>1</v>
      </c>
      <c r="I94">
        <v>0</v>
      </c>
      <c r="J94">
        <v>1</v>
      </c>
      <c r="K94">
        <v>2</v>
      </c>
      <c r="L94">
        <v>0</v>
      </c>
      <c r="M94">
        <v>1</v>
      </c>
      <c r="N94">
        <v>0</v>
      </c>
      <c r="O94">
        <f t="shared" ca="1" si="2"/>
        <v>0.19448518398239145</v>
      </c>
      <c r="P94">
        <v>0.15173404597502527</v>
      </c>
      <c r="Q94" t="str">
        <f>IF(ROWS($A$2:A94)&lt;=ROUND(COUNTA($A:$A)*80%,0),"Training","Testing")</f>
        <v>Training</v>
      </c>
    </row>
    <row r="95" spans="1:17">
      <c r="A95">
        <v>3650000</v>
      </c>
      <c r="B95">
        <v>3150</v>
      </c>
      <c r="C95">
        <v>2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f t="shared" ca="1" si="2"/>
        <v>0.65975754272857057</v>
      </c>
      <c r="P95">
        <v>0.63098453645128272</v>
      </c>
      <c r="Q95" t="str">
        <f>IF(ROWS($A$2:A95)&lt;=ROUND(COUNTA($A:$A)*80%,0),"Training","Testing")</f>
        <v>Training</v>
      </c>
    </row>
    <row r="96" spans="1:17">
      <c r="A96">
        <v>8450000</v>
      </c>
      <c r="B96">
        <v>7750</v>
      </c>
      <c r="C96">
        <v>5</v>
      </c>
      <c r="D96">
        <v>4</v>
      </c>
      <c r="E96">
        <v>3</v>
      </c>
      <c r="F96">
        <v>1</v>
      </c>
      <c r="G96">
        <v>1</v>
      </c>
      <c r="H96">
        <v>1</v>
      </c>
      <c r="I96">
        <v>0</v>
      </c>
      <c r="J96">
        <v>1</v>
      </c>
      <c r="K96">
        <v>3</v>
      </c>
      <c r="L96">
        <v>1</v>
      </c>
      <c r="M96">
        <v>1</v>
      </c>
      <c r="N96">
        <v>0</v>
      </c>
      <c r="O96">
        <f t="shared" ca="1" si="2"/>
        <v>0.9318299061353833</v>
      </c>
      <c r="P96">
        <v>0.53399670911364994</v>
      </c>
      <c r="Q96" t="str">
        <f>IF(ROWS($A$2:A96)&lt;=ROUND(COUNTA($A:$A)*80%,0),"Training","Testing")</f>
        <v>Training</v>
      </c>
    </row>
    <row r="97" spans="1:17">
      <c r="A97">
        <v>5050000</v>
      </c>
      <c r="B97">
        <v>4700</v>
      </c>
      <c r="C97">
        <v>3</v>
      </c>
      <c r="D97">
        <v>2</v>
      </c>
      <c r="E97">
        <v>2</v>
      </c>
      <c r="F97">
        <v>1</v>
      </c>
      <c r="G97">
        <v>0</v>
      </c>
      <c r="H97">
        <v>1</v>
      </c>
      <c r="I97">
        <v>0</v>
      </c>
      <c r="J97">
        <v>1</v>
      </c>
      <c r="K97">
        <v>2</v>
      </c>
      <c r="L97">
        <v>0</v>
      </c>
      <c r="M97">
        <v>0</v>
      </c>
      <c r="N97">
        <v>1</v>
      </c>
      <c r="O97">
        <f t="shared" ca="1" si="2"/>
        <v>0.38192146671812877</v>
      </c>
      <c r="P97">
        <v>0.50280268785455129</v>
      </c>
      <c r="Q97" t="str">
        <f>IF(ROWS($A$2:A97)&lt;=ROUND(COUNTA($A:$A)*80%,0),"Training","Testing")</f>
        <v>Training</v>
      </c>
    </row>
    <row r="98" spans="1:17">
      <c r="A98">
        <v>4550000</v>
      </c>
      <c r="B98">
        <v>4200</v>
      </c>
      <c r="C98">
        <v>3</v>
      </c>
      <c r="D98">
        <v>2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1</v>
      </c>
      <c r="O98">
        <f t="shared" ref="O98:O129" ca="1" si="3">RAND()</f>
        <v>0.37219461430107947</v>
      </c>
      <c r="P98">
        <v>0.38918845860018181</v>
      </c>
      <c r="Q98" t="str">
        <f>IF(ROWS($A$2:A98)&lt;=ROUND(COUNTA($A:$A)*80%,0),"Training","Testing")</f>
        <v>Training</v>
      </c>
    </row>
    <row r="99" spans="1:17">
      <c r="A99">
        <v>3900000</v>
      </c>
      <c r="B99">
        <v>3450</v>
      </c>
      <c r="C99">
        <v>2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f t="shared" ca="1" si="3"/>
        <v>8.8706974847869491E-2</v>
      </c>
      <c r="P99">
        <v>0.81253278515821692</v>
      </c>
      <c r="Q99" t="str">
        <f>IF(ROWS($A$2:A99)&lt;=ROUND(COUNTA($A:$A)*80%,0),"Training","Testing")</f>
        <v>Training</v>
      </c>
    </row>
    <row r="100" spans="1:17">
      <c r="A100">
        <v>3850000</v>
      </c>
      <c r="B100">
        <v>3250</v>
      </c>
      <c r="C100">
        <v>2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f t="shared" ca="1" si="3"/>
        <v>0.99122191491620693</v>
      </c>
      <c r="P100">
        <v>0.58601103556874679</v>
      </c>
      <c r="Q100" t="str">
        <f>IF(ROWS($A$2:A100)&lt;=ROUND(COUNTA($A:$A)*80%,0),"Training","Testing")</f>
        <v>Training</v>
      </c>
    </row>
    <row r="101" spans="1:17">
      <c r="A101">
        <v>5100000</v>
      </c>
      <c r="B101">
        <v>4850</v>
      </c>
      <c r="C101">
        <v>3</v>
      </c>
      <c r="D101">
        <v>2</v>
      </c>
      <c r="E101">
        <v>2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2</v>
      </c>
      <c r="L101">
        <v>0</v>
      </c>
      <c r="M101">
        <v>0</v>
      </c>
      <c r="N101">
        <v>1</v>
      </c>
      <c r="O101">
        <f t="shared" ca="1" si="3"/>
        <v>0.39513809304100711</v>
      </c>
      <c r="P101">
        <v>0.14403578660153793</v>
      </c>
      <c r="Q101" t="str">
        <f>IF(ROWS($A$2:A101)&lt;=ROUND(COUNTA($A:$A)*80%,0),"Training","Testing")</f>
        <v>Training</v>
      </c>
    </row>
    <row r="102" spans="1:17">
      <c r="A102">
        <v>4650000</v>
      </c>
      <c r="B102">
        <v>4350</v>
      </c>
      <c r="C102">
        <v>3</v>
      </c>
      <c r="D102">
        <v>2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0</v>
      </c>
      <c r="M102">
        <v>0</v>
      </c>
      <c r="N102">
        <v>1</v>
      </c>
      <c r="O102">
        <f t="shared" ca="1" si="3"/>
        <v>0.66789035946292519</v>
      </c>
      <c r="P102">
        <v>0.62438678147699589</v>
      </c>
      <c r="Q102" t="str">
        <f>IF(ROWS($A$2:A102)&lt;=ROUND(COUNTA($A:$A)*80%,0),"Training","Testing")</f>
        <v>Training</v>
      </c>
    </row>
    <row r="103" spans="1:17">
      <c r="A103">
        <v>6150000</v>
      </c>
      <c r="B103">
        <v>5750</v>
      </c>
      <c r="C103">
        <v>4</v>
      </c>
      <c r="D103">
        <v>3</v>
      </c>
      <c r="E103">
        <v>2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2</v>
      </c>
      <c r="L103">
        <v>1</v>
      </c>
      <c r="M103">
        <v>1</v>
      </c>
      <c r="N103">
        <v>0</v>
      </c>
      <c r="O103">
        <f t="shared" ca="1" si="3"/>
        <v>0.39171173811412718</v>
      </c>
      <c r="P103">
        <v>0.77759783293934526</v>
      </c>
      <c r="Q103" t="str">
        <f>IF(ROWS($A$2:A103)&lt;=ROUND(COUNTA($A:$A)*80%,0),"Training","Testing")</f>
        <v>Training</v>
      </c>
    </row>
    <row r="104" spans="1:17">
      <c r="A104">
        <v>7850000</v>
      </c>
      <c r="B104">
        <v>7150</v>
      </c>
      <c r="C104">
        <v>5</v>
      </c>
      <c r="D104">
        <v>3</v>
      </c>
      <c r="E104">
        <v>3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3</v>
      </c>
      <c r="L104">
        <v>1</v>
      </c>
      <c r="M104">
        <v>1</v>
      </c>
      <c r="N104">
        <v>0</v>
      </c>
      <c r="O104">
        <f t="shared" ca="1" si="3"/>
        <v>7.043370918701175E-2</v>
      </c>
      <c r="P104">
        <v>0.69207869382325127</v>
      </c>
      <c r="Q104" t="str">
        <f>IF(ROWS($A$2:A104)&lt;=ROUND(COUNTA($A:$A)*80%,0),"Training","Testing")</f>
        <v>Training</v>
      </c>
    </row>
    <row r="105" spans="1:17">
      <c r="A105">
        <v>5200000</v>
      </c>
      <c r="B105">
        <v>3200</v>
      </c>
      <c r="C105">
        <v>2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f t="shared" ca="1" si="3"/>
        <v>0.27011757770753653</v>
      </c>
      <c r="P105">
        <v>0.86468176009519415</v>
      </c>
      <c r="Q105" t="str">
        <f>IF(ROWS($A$2:A105)&lt;=ROUND(COUNTA($A:$A)*80%,0),"Training","Testing")</f>
        <v>Training</v>
      </c>
    </row>
    <row r="106" spans="1:17">
      <c r="A106">
        <v>11200000</v>
      </c>
      <c r="B106">
        <v>6500</v>
      </c>
      <c r="C106">
        <v>3</v>
      </c>
      <c r="D106">
        <v>2</v>
      </c>
      <c r="E106">
        <v>2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1</v>
      </c>
      <c r="M106">
        <v>0</v>
      </c>
      <c r="N106">
        <v>1</v>
      </c>
      <c r="O106">
        <f t="shared" ca="1" si="3"/>
        <v>0.78895998958693314</v>
      </c>
      <c r="P106">
        <v>0.93315492424664592</v>
      </c>
      <c r="Q106" t="str">
        <f>IF(ROWS($A$2:A106)&lt;=ROUND(COUNTA($A:$A)*80%,0),"Training","Testing")</f>
        <v>Training</v>
      </c>
    </row>
    <row r="107" spans="1:17">
      <c r="A107">
        <v>10800000</v>
      </c>
      <c r="B107">
        <v>5600</v>
      </c>
      <c r="C107">
        <v>3</v>
      </c>
      <c r="D107">
        <v>2</v>
      </c>
      <c r="E107">
        <v>2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1</v>
      </c>
      <c r="M107">
        <v>1</v>
      </c>
      <c r="N107">
        <v>0</v>
      </c>
      <c r="O107">
        <f t="shared" ca="1" si="3"/>
        <v>0.71912982632488487</v>
      </c>
      <c r="P107">
        <v>0.66322796158030894</v>
      </c>
      <c r="Q107" t="str">
        <f>IF(ROWS($A$2:A107)&lt;=ROUND(COUNTA($A:$A)*80%,0),"Training","Testing")</f>
        <v>Training</v>
      </c>
    </row>
    <row r="108" spans="1:17">
      <c r="A108">
        <v>4550000</v>
      </c>
      <c r="B108">
        <v>4100</v>
      </c>
      <c r="C108">
        <v>3</v>
      </c>
      <c r="D108">
        <v>2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1</v>
      </c>
      <c r="O108">
        <f t="shared" ca="1" si="3"/>
        <v>0.66391306903671321</v>
      </c>
      <c r="P108">
        <v>5.0342568533660592E-2</v>
      </c>
      <c r="Q108" t="str">
        <f>IF(ROWS($A$2:A108)&lt;=ROUND(COUNTA($A:$A)*80%,0),"Training","Testing")</f>
        <v>Training</v>
      </c>
    </row>
    <row r="109" spans="1:17">
      <c r="A109">
        <v>8100000</v>
      </c>
      <c r="B109">
        <v>4800</v>
      </c>
      <c r="C109">
        <v>3</v>
      </c>
      <c r="D109">
        <v>2</v>
      </c>
      <c r="E109">
        <v>1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f t="shared" ca="1" si="3"/>
        <v>0.10928002434966244</v>
      </c>
      <c r="P109">
        <v>0.66487512572190854</v>
      </c>
      <c r="Q109" t="str">
        <f>IF(ROWS($A$2:A109)&lt;=ROUND(COUNTA($A:$A)*80%,0),"Training","Testing")</f>
        <v>Training</v>
      </c>
    </row>
    <row r="110" spans="1:17">
      <c r="A110">
        <v>4700000</v>
      </c>
      <c r="B110">
        <v>4400</v>
      </c>
      <c r="C110">
        <v>3</v>
      </c>
      <c r="D110">
        <v>2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1</v>
      </c>
      <c r="O110">
        <f t="shared" ca="1" si="3"/>
        <v>0.20430467770224203</v>
      </c>
      <c r="P110">
        <v>0.13595649735666548</v>
      </c>
      <c r="Q110" t="str">
        <f>IF(ROWS($A$2:A110)&lt;=ROUND(COUNTA($A:$A)*80%,0),"Training","Testing")</f>
        <v>Training</v>
      </c>
    </row>
    <row r="111" spans="1:17">
      <c r="A111">
        <v>3550000</v>
      </c>
      <c r="B111">
        <v>3050</v>
      </c>
      <c r="C111">
        <v>2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f t="shared" ca="1" si="3"/>
        <v>0.60176555562656442</v>
      </c>
      <c r="P111">
        <v>0.90075640927857592</v>
      </c>
      <c r="Q111" t="str">
        <f>IF(ROWS($A$2:A111)&lt;=ROUND(COUNTA($A:$A)*80%,0),"Training","Testing")</f>
        <v>Training</v>
      </c>
    </row>
    <row r="112" spans="1:17">
      <c r="A112">
        <v>5750000</v>
      </c>
      <c r="B112">
        <v>5450</v>
      </c>
      <c r="C112">
        <v>4</v>
      </c>
      <c r="D112">
        <v>2</v>
      </c>
      <c r="E112">
        <v>2</v>
      </c>
      <c r="F112">
        <v>1</v>
      </c>
      <c r="G112">
        <v>0</v>
      </c>
      <c r="H112">
        <v>1</v>
      </c>
      <c r="I112">
        <v>0</v>
      </c>
      <c r="J112">
        <v>1</v>
      </c>
      <c r="K112">
        <v>2</v>
      </c>
      <c r="L112">
        <v>0</v>
      </c>
      <c r="M112">
        <v>0</v>
      </c>
      <c r="N112">
        <v>1</v>
      </c>
      <c r="O112">
        <f t="shared" ca="1" si="3"/>
        <v>0.80213799683896214</v>
      </c>
      <c r="P112">
        <v>0.79517448347634412</v>
      </c>
      <c r="Q112" t="str">
        <f>IF(ROWS($A$2:A112)&lt;=ROUND(COUNTA($A:$A)*80%,0),"Training","Testing")</f>
        <v>Training</v>
      </c>
    </row>
    <row r="113" spans="1:17">
      <c r="A113">
        <v>5850000</v>
      </c>
      <c r="B113">
        <v>5500</v>
      </c>
      <c r="C113">
        <v>4</v>
      </c>
      <c r="D113">
        <v>2</v>
      </c>
      <c r="E113">
        <v>2</v>
      </c>
      <c r="F113">
        <v>1</v>
      </c>
      <c r="G113">
        <v>0</v>
      </c>
      <c r="H113">
        <v>1</v>
      </c>
      <c r="I113">
        <v>0</v>
      </c>
      <c r="J113">
        <v>1</v>
      </c>
      <c r="K113">
        <v>2</v>
      </c>
      <c r="L113">
        <v>0</v>
      </c>
      <c r="M113">
        <v>0</v>
      </c>
      <c r="N113">
        <v>1</v>
      </c>
      <c r="O113">
        <f t="shared" ca="1" si="3"/>
        <v>0.56835658220001284</v>
      </c>
      <c r="P113">
        <v>0.76178233246388194</v>
      </c>
      <c r="Q113" t="str">
        <f>IF(ROWS($A$2:A113)&lt;=ROUND(COUNTA($A:$A)*80%,0),"Training","Testing")</f>
        <v>Training</v>
      </c>
    </row>
    <row r="114" spans="1:17">
      <c r="A114">
        <v>5850000</v>
      </c>
      <c r="B114">
        <v>5500</v>
      </c>
      <c r="C114">
        <v>4</v>
      </c>
      <c r="D114">
        <v>2</v>
      </c>
      <c r="E114">
        <v>2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2</v>
      </c>
      <c r="L114">
        <v>0</v>
      </c>
      <c r="M114">
        <v>0</v>
      </c>
      <c r="N114">
        <v>1</v>
      </c>
      <c r="O114">
        <f t="shared" ca="1" si="3"/>
        <v>0.26636958593237392</v>
      </c>
      <c r="P114">
        <v>0.18872142079300114</v>
      </c>
      <c r="Q114" t="str">
        <f>IF(ROWS($A$2:A114)&lt;=ROUND(COUNTA($A:$A)*80%,0),"Training","Testing")</f>
        <v>Training</v>
      </c>
    </row>
    <row r="115" spans="1:17">
      <c r="A115">
        <v>6050000</v>
      </c>
      <c r="B115">
        <v>5650</v>
      </c>
      <c r="C115">
        <v>4</v>
      </c>
      <c r="D115">
        <v>3</v>
      </c>
      <c r="E115">
        <v>2</v>
      </c>
      <c r="F115">
        <v>1</v>
      </c>
      <c r="G115">
        <v>1</v>
      </c>
      <c r="H115">
        <v>0</v>
      </c>
      <c r="I115">
        <v>0</v>
      </c>
      <c r="J115">
        <v>1</v>
      </c>
      <c r="K115">
        <v>2</v>
      </c>
      <c r="L115">
        <v>1</v>
      </c>
      <c r="M115">
        <v>1</v>
      </c>
      <c r="N115">
        <v>0</v>
      </c>
      <c r="O115">
        <f t="shared" ca="1" si="3"/>
        <v>0.82114595229658627</v>
      </c>
      <c r="P115">
        <v>0.16056447664149098</v>
      </c>
      <c r="Q115" t="str">
        <f>IF(ROWS($A$2:A115)&lt;=ROUND(COUNTA($A:$A)*80%,0),"Training","Testing")</f>
        <v>Training</v>
      </c>
    </row>
    <row r="116" spans="1:17">
      <c r="A116">
        <v>5600000</v>
      </c>
      <c r="B116">
        <v>5250</v>
      </c>
      <c r="C116">
        <v>4</v>
      </c>
      <c r="D116">
        <v>2</v>
      </c>
      <c r="E116">
        <v>2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1</v>
      </c>
      <c r="O116">
        <f t="shared" ca="1" si="3"/>
        <v>0.74477124022415375</v>
      </c>
      <c r="P116">
        <v>5.6470750126088709E-2</v>
      </c>
      <c r="Q116" t="str">
        <f>IF(ROWS($A$2:A116)&lt;=ROUND(COUNTA($A:$A)*80%,0),"Training","Testing")</f>
        <v>Training</v>
      </c>
    </row>
    <row r="117" spans="1:17">
      <c r="A117">
        <v>7700000</v>
      </c>
      <c r="B117">
        <v>7050</v>
      </c>
      <c r="C117">
        <v>5</v>
      </c>
      <c r="D117">
        <v>3</v>
      </c>
      <c r="E117">
        <v>3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3</v>
      </c>
      <c r="L117">
        <v>1</v>
      </c>
      <c r="M117">
        <v>1</v>
      </c>
      <c r="N117">
        <v>0</v>
      </c>
      <c r="O117">
        <f t="shared" ca="1" si="3"/>
        <v>0.74750104867171197</v>
      </c>
      <c r="P117">
        <v>0.48250463575007529</v>
      </c>
      <c r="Q117" t="str">
        <f>IF(ROWS($A$2:A117)&lt;=ROUND(COUNTA($A:$A)*80%,0),"Training","Testing")</f>
        <v>Training</v>
      </c>
    </row>
    <row r="118" spans="1:17">
      <c r="A118">
        <v>6550000</v>
      </c>
      <c r="B118">
        <v>6050</v>
      </c>
      <c r="C118">
        <v>4</v>
      </c>
      <c r="D118">
        <v>2</v>
      </c>
      <c r="E118">
        <v>2</v>
      </c>
      <c r="F118">
        <v>1</v>
      </c>
      <c r="G118">
        <v>1</v>
      </c>
      <c r="H118">
        <v>0</v>
      </c>
      <c r="I118">
        <v>0</v>
      </c>
      <c r="J118">
        <v>1</v>
      </c>
      <c r="K118">
        <v>2</v>
      </c>
      <c r="L118">
        <v>1</v>
      </c>
      <c r="M118">
        <v>1</v>
      </c>
      <c r="N118">
        <v>0</v>
      </c>
      <c r="O118">
        <f t="shared" ca="1" si="3"/>
        <v>0.4213660936571102</v>
      </c>
      <c r="P118">
        <v>0.15327735366435236</v>
      </c>
      <c r="Q118" t="str">
        <f>IF(ROWS($A$2:A118)&lt;=ROUND(COUNTA($A:$A)*80%,0),"Training","Testing")</f>
        <v>Training</v>
      </c>
    </row>
    <row r="119" spans="1:17">
      <c r="A119">
        <v>4700000</v>
      </c>
      <c r="B119">
        <v>4350</v>
      </c>
      <c r="C119">
        <v>3</v>
      </c>
      <c r="D119">
        <v>2</v>
      </c>
      <c r="E119">
        <v>2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1</v>
      </c>
      <c r="O119">
        <f t="shared" ca="1" si="3"/>
        <v>0.38624136349771698</v>
      </c>
      <c r="P119">
        <v>0.98102583446914793</v>
      </c>
      <c r="Q119" t="str">
        <f>IF(ROWS($A$2:A119)&lt;=ROUND(COUNTA($A:$A)*80%,0),"Training","Testing")</f>
        <v>Training</v>
      </c>
    </row>
    <row r="120" spans="1:17">
      <c r="A120">
        <v>6750000</v>
      </c>
      <c r="B120">
        <v>6200</v>
      </c>
      <c r="C120">
        <v>4</v>
      </c>
      <c r="D120">
        <v>3</v>
      </c>
      <c r="E120">
        <v>2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2</v>
      </c>
      <c r="L120">
        <v>1</v>
      </c>
      <c r="M120">
        <v>1</v>
      </c>
      <c r="N120">
        <v>0</v>
      </c>
      <c r="O120">
        <f t="shared" ca="1" si="3"/>
        <v>0.62527425015628302</v>
      </c>
      <c r="P120">
        <v>0.14824736082928336</v>
      </c>
      <c r="Q120" t="str">
        <f>IF(ROWS($A$2:A120)&lt;=ROUND(COUNTA($A:$A)*80%,0),"Training","Testing")</f>
        <v>Training</v>
      </c>
    </row>
    <row r="121" spans="1:17">
      <c r="A121">
        <v>5650000</v>
      </c>
      <c r="B121">
        <v>5200</v>
      </c>
      <c r="C121">
        <v>3</v>
      </c>
      <c r="D121">
        <v>2</v>
      </c>
      <c r="E121">
        <v>2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2</v>
      </c>
      <c r="L121">
        <v>0</v>
      </c>
      <c r="M121">
        <v>0</v>
      </c>
      <c r="N121">
        <v>1</v>
      </c>
      <c r="O121">
        <f t="shared" ca="1" si="3"/>
        <v>0.97649765294919144</v>
      </c>
      <c r="P121">
        <v>0.43403672118678249</v>
      </c>
      <c r="Q121" t="str">
        <f>IF(ROWS($A$2:A121)&lt;=ROUND(COUNTA($A:$A)*80%,0),"Training","Testing")</f>
        <v>Training</v>
      </c>
    </row>
    <row r="122" spans="1:17">
      <c r="A122">
        <v>4950000</v>
      </c>
      <c r="B122">
        <v>4550</v>
      </c>
      <c r="C122">
        <v>3</v>
      </c>
      <c r="D122">
        <v>2</v>
      </c>
      <c r="E122">
        <v>2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2</v>
      </c>
      <c r="L122">
        <v>0</v>
      </c>
      <c r="M122">
        <v>0</v>
      </c>
      <c r="N122">
        <v>1</v>
      </c>
      <c r="O122">
        <f t="shared" ca="1" si="3"/>
        <v>0.6635076763591895</v>
      </c>
      <c r="P122">
        <v>0.79725640006673004</v>
      </c>
      <c r="Q122" t="str">
        <f>IF(ROWS($A$2:A122)&lt;=ROUND(COUNTA($A:$A)*80%,0),"Training","Testing")</f>
        <v>Training</v>
      </c>
    </row>
    <row r="123" spans="1:17">
      <c r="A123">
        <v>7600000</v>
      </c>
      <c r="B123">
        <v>6950</v>
      </c>
      <c r="C123">
        <v>5</v>
      </c>
      <c r="D123">
        <v>3</v>
      </c>
      <c r="E123">
        <v>3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3</v>
      </c>
      <c r="L123">
        <v>1</v>
      </c>
      <c r="M123">
        <v>1</v>
      </c>
      <c r="N123">
        <v>0</v>
      </c>
      <c r="O123">
        <f t="shared" ca="1" si="3"/>
        <v>0.56630617203917466</v>
      </c>
      <c r="P123">
        <v>3.5383035658859696E-2</v>
      </c>
      <c r="Q123" t="str">
        <f>IF(ROWS($A$2:A123)&lt;=ROUND(COUNTA($A:$A)*80%,0),"Training","Testing")</f>
        <v>Training</v>
      </c>
    </row>
    <row r="124" spans="1:17">
      <c r="A124">
        <v>5400000</v>
      </c>
      <c r="B124">
        <v>5000</v>
      </c>
      <c r="C124">
        <v>3</v>
      </c>
      <c r="D124">
        <v>2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2</v>
      </c>
      <c r="L124">
        <v>0</v>
      </c>
      <c r="M124">
        <v>0</v>
      </c>
      <c r="N124">
        <v>1</v>
      </c>
      <c r="O124">
        <f t="shared" ca="1" si="3"/>
        <v>0.80030262677081965</v>
      </c>
      <c r="P124">
        <v>0.12352972930203687</v>
      </c>
      <c r="Q124" t="str">
        <f>IF(ROWS($A$2:A124)&lt;=ROUND(COUNTA($A:$A)*80%,0),"Training","Testing")</f>
        <v>Training</v>
      </c>
    </row>
    <row r="125" spans="1:17">
      <c r="A125">
        <v>5550000</v>
      </c>
      <c r="B125">
        <v>5200</v>
      </c>
      <c r="C125">
        <v>4</v>
      </c>
      <c r="D125">
        <v>2</v>
      </c>
      <c r="E125">
        <v>2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2</v>
      </c>
      <c r="L125">
        <v>0</v>
      </c>
      <c r="M125">
        <v>0</v>
      </c>
      <c r="N125">
        <v>1</v>
      </c>
      <c r="O125">
        <f t="shared" ca="1" si="3"/>
        <v>0.87002073070266661</v>
      </c>
      <c r="P125">
        <v>0.3131158293933336</v>
      </c>
      <c r="Q125" t="str">
        <f>IF(ROWS($A$2:A125)&lt;=ROUND(COUNTA($A:$A)*80%,0),"Training","Testing")</f>
        <v>Training</v>
      </c>
    </row>
    <row r="126" spans="1:17">
      <c r="A126">
        <v>5550000</v>
      </c>
      <c r="B126">
        <v>5250</v>
      </c>
      <c r="C126">
        <v>3</v>
      </c>
      <c r="D126">
        <v>2</v>
      </c>
      <c r="E126">
        <v>2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2</v>
      </c>
      <c r="L126">
        <v>0</v>
      </c>
      <c r="M126">
        <v>0</v>
      </c>
      <c r="N126">
        <v>1</v>
      </c>
      <c r="O126">
        <f t="shared" ca="1" si="3"/>
        <v>0.71540276344653897</v>
      </c>
      <c r="P126">
        <v>0.46929562399299296</v>
      </c>
      <c r="Q126" t="str">
        <f>IF(ROWS($A$2:A126)&lt;=ROUND(COUNTA($A:$A)*80%,0),"Training","Testing")</f>
        <v>Training</v>
      </c>
    </row>
    <row r="127" spans="1:17">
      <c r="A127">
        <v>4550000</v>
      </c>
      <c r="B127">
        <v>4250</v>
      </c>
      <c r="C127">
        <v>3</v>
      </c>
      <c r="D127">
        <v>2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f t="shared" ca="1" si="3"/>
        <v>0.92567165364858728</v>
      </c>
      <c r="P127">
        <v>0.62616373952526094</v>
      </c>
      <c r="Q127" t="str">
        <f>IF(ROWS($A$2:A127)&lt;=ROUND(COUNTA($A:$A)*80%,0),"Training","Testing")</f>
        <v>Training</v>
      </c>
    </row>
    <row r="128" spans="1:17">
      <c r="A128">
        <v>4900000</v>
      </c>
      <c r="B128">
        <v>4300</v>
      </c>
      <c r="C128">
        <v>3</v>
      </c>
      <c r="D128">
        <v>2</v>
      </c>
      <c r="E128">
        <v>2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0</v>
      </c>
      <c r="N128">
        <v>1</v>
      </c>
      <c r="O128">
        <f t="shared" ca="1" si="3"/>
        <v>0.33209759764774605</v>
      </c>
      <c r="P128">
        <v>0.23561415393156582</v>
      </c>
      <c r="Q128" t="str">
        <f>IF(ROWS($A$2:A128)&lt;=ROUND(COUNTA($A:$A)*80%,0),"Training","Testing")</f>
        <v>Training</v>
      </c>
    </row>
    <row r="129" spans="1:17">
      <c r="A129">
        <v>3950000</v>
      </c>
      <c r="B129">
        <v>3350</v>
      </c>
      <c r="C129">
        <v>2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f t="shared" ca="1" si="3"/>
        <v>0.82669535800214955</v>
      </c>
      <c r="P129">
        <v>0.453307925714586</v>
      </c>
      <c r="Q129" t="str">
        <f>IF(ROWS($A$2:A129)&lt;=ROUND(COUNTA($A:$A)*80%,0),"Training","Testing")</f>
        <v>Training</v>
      </c>
    </row>
    <row r="130" spans="1:17">
      <c r="A130">
        <v>8350000</v>
      </c>
      <c r="B130">
        <v>7600</v>
      </c>
      <c r="C130">
        <v>5</v>
      </c>
      <c r="D130">
        <v>4</v>
      </c>
      <c r="E130">
        <v>3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3</v>
      </c>
      <c r="L130">
        <v>1</v>
      </c>
      <c r="M130">
        <v>1</v>
      </c>
      <c r="N130">
        <v>0</v>
      </c>
      <c r="O130">
        <f t="shared" ref="O130:O161" ca="1" si="4">RAND()</f>
        <v>0.34879364461182882</v>
      </c>
      <c r="P130">
        <v>0.65197594797378033</v>
      </c>
      <c r="Q130" t="str">
        <f>IF(ROWS($A$2:A130)&lt;=ROUND(COUNTA($A:$A)*80%,0),"Training","Testing")</f>
        <v>Training</v>
      </c>
    </row>
    <row r="131" spans="1:17">
      <c r="A131">
        <v>5050000</v>
      </c>
      <c r="B131">
        <v>4650</v>
      </c>
      <c r="C131">
        <v>3</v>
      </c>
      <c r="D131">
        <v>2</v>
      </c>
      <c r="E131">
        <v>2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2</v>
      </c>
      <c r="L131">
        <v>0</v>
      </c>
      <c r="M131">
        <v>0</v>
      </c>
      <c r="N131">
        <v>1</v>
      </c>
      <c r="O131">
        <f t="shared" ca="1" si="4"/>
        <v>0.80272594514672313</v>
      </c>
      <c r="P131">
        <v>6.3631260738448714E-2</v>
      </c>
      <c r="Q131" t="str">
        <f>IF(ROWS($A$2:A131)&lt;=ROUND(COUNTA($A:$A)*80%,0),"Training","Testing")</f>
        <v>Training</v>
      </c>
    </row>
    <row r="132" spans="1:17">
      <c r="A132">
        <v>5950000</v>
      </c>
      <c r="B132">
        <v>5550</v>
      </c>
      <c r="C132">
        <v>4</v>
      </c>
      <c r="D132">
        <v>3</v>
      </c>
      <c r="E132">
        <v>2</v>
      </c>
      <c r="F132">
        <v>1</v>
      </c>
      <c r="G132">
        <v>1</v>
      </c>
      <c r="H132">
        <v>0</v>
      </c>
      <c r="I132">
        <v>0</v>
      </c>
      <c r="J132">
        <v>1</v>
      </c>
      <c r="K132">
        <v>2</v>
      </c>
      <c r="L132">
        <v>1</v>
      </c>
      <c r="M132">
        <v>1</v>
      </c>
      <c r="N132">
        <v>0</v>
      </c>
      <c r="O132">
        <f t="shared" ca="1" si="4"/>
        <v>0.83679877687476578</v>
      </c>
      <c r="P132">
        <v>0.53721246226314678</v>
      </c>
      <c r="Q132" t="str">
        <f>IF(ROWS($A$2:A132)&lt;=ROUND(COUNTA($A:$A)*80%,0),"Training","Testing")</f>
        <v>Training</v>
      </c>
    </row>
    <row r="133" spans="1:17">
      <c r="A133">
        <v>7750000</v>
      </c>
      <c r="B133">
        <v>7050</v>
      </c>
      <c r="C133">
        <v>5</v>
      </c>
      <c r="D133">
        <v>3</v>
      </c>
      <c r="E133">
        <v>3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3</v>
      </c>
      <c r="L133">
        <v>1</v>
      </c>
      <c r="M133">
        <v>1</v>
      </c>
      <c r="N133">
        <v>0</v>
      </c>
      <c r="O133">
        <f t="shared" ca="1" si="4"/>
        <v>9.1116161378430593E-3</v>
      </c>
      <c r="P133">
        <v>0.39396901566539733</v>
      </c>
      <c r="Q133" t="str">
        <f>IF(ROWS($A$2:A133)&lt;=ROUND(COUNTA($A:$A)*80%,0),"Training","Testing")</f>
        <v>Training</v>
      </c>
    </row>
    <row r="134" spans="1:17">
      <c r="A134">
        <v>6050000</v>
      </c>
      <c r="B134">
        <v>5650</v>
      </c>
      <c r="C134">
        <v>4</v>
      </c>
      <c r="D134">
        <v>3</v>
      </c>
      <c r="E134">
        <v>2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2</v>
      </c>
      <c r="L134">
        <v>1</v>
      </c>
      <c r="M134">
        <v>1</v>
      </c>
      <c r="N134">
        <v>0</v>
      </c>
      <c r="O134">
        <f t="shared" ca="1" si="4"/>
        <v>0.87481917765402828</v>
      </c>
      <c r="P134">
        <v>0.72227702337874289</v>
      </c>
      <c r="Q134" t="str">
        <f>IF(ROWS($A$2:A134)&lt;=ROUND(COUNTA($A:$A)*80%,0),"Training","Testing")</f>
        <v>Training</v>
      </c>
    </row>
    <row r="135" spans="1:17">
      <c r="A135">
        <v>8100000</v>
      </c>
      <c r="B135">
        <v>7200</v>
      </c>
      <c r="C135">
        <v>5</v>
      </c>
      <c r="D135">
        <v>3</v>
      </c>
      <c r="E135">
        <v>3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3</v>
      </c>
      <c r="L135">
        <v>1</v>
      </c>
      <c r="M135">
        <v>1</v>
      </c>
      <c r="N135">
        <v>0</v>
      </c>
      <c r="O135">
        <f t="shared" ca="1" si="4"/>
        <v>0.21927269746806644</v>
      </c>
      <c r="P135">
        <v>0.69107124930785524</v>
      </c>
      <c r="Q135" t="str">
        <f>IF(ROWS($A$2:A135)&lt;=ROUND(COUNTA($A:$A)*80%,0),"Training","Testing")</f>
        <v>Training</v>
      </c>
    </row>
    <row r="136" spans="1:17">
      <c r="A136">
        <v>5650000</v>
      </c>
      <c r="B136">
        <v>5300</v>
      </c>
      <c r="C136">
        <v>4</v>
      </c>
      <c r="D136">
        <v>2</v>
      </c>
      <c r="E136">
        <v>2</v>
      </c>
      <c r="F136">
        <v>1</v>
      </c>
      <c r="G136">
        <v>0</v>
      </c>
      <c r="H136">
        <v>1</v>
      </c>
      <c r="I136">
        <v>0</v>
      </c>
      <c r="J136">
        <v>1</v>
      </c>
      <c r="K136">
        <v>2</v>
      </c>
      <c r="L136">
        <v>0</v>
      </c>
      <c r="M136">
        <v>0</v>
      </c>
      <c r="N136">
        <v>1</v>
      </c>
      <c r="O136">
        <f t="shared" ca="1" si="4"/>
        <v>0.63025118131735114</v>
      </c>
      <c r="P136">
        <v>0.41556999175326326</v>
      </c>
      <c r="Q136" t="str">
        <f>IF(ROWS($A$2:A136)&lt;=ROUND(COUNTA($A:$A)*80%,0),"Training","Testing")</f>
        <v>Testing</v>
      </c>
    </row>
    <row r="137" spans="1:17">
      <c r="A137">
        <v>7600000</v>
      </c>
      <c r="B137">
        <v>4100</v>
      </c>
      <c r="C137">
        <v>3</v>
      </c>
      <c r="D137">
        <v>1</v>
      </c>
      <c r="E137">
        <v>2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f t="shared" ca="1" si="4"/>
        <v>0.63933453216856417</v>
      </c>
      <c r="P137">
        <v>0.60194013961130055</v>
      </c>
      <c r="Q137" t="str">
        <f>IF(ROWS($A$2:A137)&lt;=ROUND(COUNTA($A:$A)*80%,0),"Training","Testing")</f>
        <v>Testing</v>
      </c>
    </row>
    <row r="138" spans="1:17">
      <c r="A138">
        <v>4400000</v>
      </c>
      <c r="B138">
        <v>4050</v>
      </c>
      <c r="C138">
        <v>3</v>
      </c>
      <c r="D138">
        <v>2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1</v>
      </c>
      <c r="O138">
        <f t="shared" ca="1" si="4"/>
        <v>0.95465088769371576</v>
      </c>
      <c r="P138">
        <v>0.36702777631862782</v>
      </c>
      <c r="Q138" t="str">
        <f>IF(ROWS($A$2:A138)&lt;=ROUND(COUNTA($A:$A)*80%,0),"Training","Testing")</f>
        <v>Testing</v>
      </c>
    </row>
    <row r="139" spans="1:17">
      <c r="A139">
        <v>8350000</v>
      </c>
      <c r="B139">
        <v>7600</v>
      </c>
      <c r="C139">
        <v>5</v>
      </c>
      <c r="D139">
        <v>4</v>
      </c>
      <c r="E139">
        <v>3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3</v>
      </c>
      <c r="L139">
        <v>1</v>
      </c>
      <c r="M139">
        <v>1</v>
      </c>
      <c r="N139">
        <v>0</v>
      </c>
      <c r="O139">
        <f t="shared" ca="1" si="4"/>
        <v>0.87426613268075315</v>
      </c>
      <c r="P139">
        <v>0.80305883688224944</v>
      </c>
      <c r="Q139" t="str">
        <f>IF(ROWS($A$2:A139)&lt;=ROUND(COUNTA($A:$A)*80%,0),"Training","Testing")</f>
        <v>Testing</v>
      </c>
    </row>
    <row r="140" spans="1:17">
      <c r="A140">
        <v>7350000</v>
      </c>
      <c r="B140">
        <v>6700</v>
      </c>
      <c r="C140">
        <v>5</v>
      </c>
      <c r="D140">
        <v>3</v>
      </c>
      <c r="E140">
        <v>3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3</v>
      </c>
      <c r="L140">
        <v>1</v>
      </c>
      <c r="M140">
        <v>1</v>
      </c>
      <c r="N140">
        <v>0</v>
      </c>
      <c r="O140">
        <f t="shared" ca="1" si="4"/>
        <v>0.64807534453892846</v>
      </c>
      <c r="P140">
        <v>0.37174426063696719</v>
      </c>
      <c r="Q140" t="str">
        <f>IF(ROWS($A$2:A140)&lt;=ROUND(COUNTA($A:$A)*80%,0),"Training","Testing")</f>
        <v>Testing</v>
      </c>
    </row>
    <row r="141" spans="1:17">
      <c r="A141">
        <v>7150000</v>
      </c>
      <c r="B141">
        <v>6500</v>
      </c>
      <c r="C141">
        <v>5</v>
      </c>
      <c r="D141">
        <v>3</v>
      </c>
      <c r="E141">
        <v>3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3</v>
      </c>
      <c r="L141">
        <v>1</v>
      </c>
      <c r="M141">
        <v>1</v>
      </c>
      <c r="N141">
        <v>0</v>
      </c>
      <c r="O141">
        <f t="shared" ca="1" si="4"/>
        <v>0.57248152668709895</v>
      </c>
      <c r="P141">
        <v>0.54834884835729014</v>
      </c>
      <c r="Q141" t="str">
        <f>IF(ROWS($A$2:A141)&lt;=ROUND(COUNTA($A:$A)*80%,0),"Training","Testing")</f>
        <v>Testing</v>
      </c>
    </row>
    <row r="142" spans="1:17">
      <c r="A142">
        <v>4550000</v>
      </c>
      <c r="B142">
        <v>4200</v>
      </c>
      <c r="C142">
        <v>3</v>
      </c>
      <c r="D142">
        <v>2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0</v>
      </c>
      <c r="N142">
        <v>0</v>
      </c>
      <c r="O142">
        <f t="shared" ca="1" si="4"/>
        <v>0.43661220221919106</v>
      </c>
      <c r="P142">
        <v>0.39606356287332845</v>
      </c>
      <c r="Q142" t="str">
        <f>IF(ROWS($A$2:A142)&lt;=ROUND(COUNTA($A:$A)*80%,0),"Training","Testing")</f>
        <v>Testing</v>
      </c>
    </row>
    <row r="143" spans="1:17">
      <c r="A143">
        <v>3950000</v>
      </c>
      <c r="B143">
        <v>3500</v>
      </c>
      <c r="C143">
        <v>2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f t="shared" ca="1" si="4"/>
        <v>0.44998971999015025</v>
      </c>
      <c r="P143">
        <v>0.90401989188681553</v>
      </c>
      <c r="Q143" t="str">
        <f>IF(ROWS($A$2:A143)&lt;=ROUND(COUNTA($A:$A)*80%,0),"Training","Testing")</f>
        <v>Testing</v>
      </c>
    </row>
    <row r="144" spans="1:17">
      <c r="A144">
        <v>3550000</v>
      </c>
      <c r="B144">
        <v>3000</v>
      </c>
      <c r="C144">
        <v>2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f t="shared" ca="1" si="4"/>
        <v>0.64370085077706662</v>
      </c>
      <c r="P144">
        <v>0.51110891974982109</v>
      </c>
      <c r="Q144" t="str">
        <f>IF(ROWS($A$2:A144)&lt;=ROUND(COUNTA($A:$A)*80%,0),"Training","Testing")</f>
        <v>Testing</v>
      </c>
    </row>
    <row r="145" spans="1:17">
      <c r="A145">
        <v>7200000</v>
      </c>
      <c r="B145">
        <v>6400</v>
      </c>
      <c r="C145">
        <v>4</v>
      </c>
      <c r="D145">
        <v>3</v>
      </c>
      <c r="E145">
        <v>3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2</v>
      </c>
      <c r="L145">
        <v>1</v>
      </c>
      <c r="M145">
        <v>1</v>
      </c>
      <c r="N145">
        <v>0</v>
      </c>
      <c r="O145">
        <f t="shared" ca="1" si="4"/>
        <v>0.37357778247151197</v>
      </c>
      <c r="P145">
        <v>0.67871828714033167</v>
      </c>
      <c r="Q145" t="str">
        <f>IF(ROWS($A$2:A145)&lt;=ROUND(COUNTA($A:$A)*80%,0),"Training","Testing")</f>
        <v>Testing</v>
      </c>
    </row>
    <row r="146" spans="1:17">
      <c r="A146">
        <v>13650000</v>
      </c>
      <c r="B146">
        <v>7500</v>
      </c>
      <c r="C146">
        <v>4</v>
      </c>
      <c r="D146">
        <v>2</v>
      </c>
      <c r="E146">
        <v>2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3</v>
      </c>
      <c r="L146">
        <v>1</v>
      </c>
      <c r="M146">
        <v>1</v>
      </c>
      <c r="N146">
        <v>0</v>
      </c>
      <c r="O146">
        <f t="shared" ca="1" si="4"/>
        <v>0.41413970070228601</v>
      </c>
      <c r="P146">
        <v>2.3301641717080601E-2</v>
      </c>
      <c r="Q146" t="str">
        <f>IF(ROWS($A$2:A146)&lt;=ROUND(COUNTA($A:$A)*80%,0),"Training","Testing")</f>
        <v>Testing</v>
      </c>
    </row>
    <row r="147" spans="1:17">
      <c r="A147">
        <v>6850000</v>
      </c>
      <c r="B147">
        <v>6250</v>
      </c>
      <c r="C147">
        <v>4</v>
      </c>
      <c r="D147">
        <v>3</v>
      </c>
      <c r="E147">
        <v>2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2</v>
      </c>
      <c r="L147">
        <v>1</v>
      </c>
      <c r="M147">
        <v>1</v>
      </c>
      <c r="N147">
        <v>0</v>
      </c>
      <c r="O147">
        <f t="shared" ca="1" si="4"/>
        <v>0.71980801586484866</v>
      </c>
      <c r="P147">
        <v>0.27926836130693578</v>
      </c>
      <c r="Q147" t="str">
        <f>IF(ROWS($A$2:A147)&lt;=ROUND(COUNTA($A:$A)*80%,0),"Training","Testing")</f>
        <v>Testing</v>
      </c>
    </row>
    <row r="148" spans="1:17">
      <c r="A148">
        <v>8250000</v>
      </c>
      <c r="B148">
        <v>7600</v>
      </c>
      <c r="C148">
        <v>5</v>
      </c>
      <c r="D148">
        <v>4</v>
      </c>
      <c r="E148">
        <v>3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3</v>
      </c>
      <c r="L148">
        <v>1</v>
      </c>
      <c r="M148">
        <v>1</v>
      </c>
      <c r="N148">
        <v>0</v>
      </c>
      <c r="O148">
        <f t="shared" ca="1" si="4"/>
        <v>2.0498586808232244E-2</v>
      </c>
      <c r="P148">
        <v>0.53967634455529312</v>
      </c>
      <c r="Q148" t="str">
        <f>IF(ROWS($A$2:A148)&lt;=ROUND(COUNTA($A:$A)*80%,0),"Training","Testing")</f>
        <v>Testing</v>
      </c>
    </row>
    <row r="149" spans="1:17">
      <c r="A149">
        <v>4650000</v>
      </c>
      <c r="B149">
        <v>4300</v>
      </c>
      <c r="C149">
        <v>3</v>
      </c>
      <c r="D149">
        <v>2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1</v>
      </c>
      <c r="O149">
        <f t="shared" ca="1" si="4"/>
        <v>0.47813652971457821</v>
      </c>
      <c r="P149">
        <v>0.97194633402794295</v>
      </c>
      <c r="Q149" t="str">
        <f>IF(ROWS($A$2:A149)&lt;=ROUND(COUNTA($A:$A)*80%,0),"Training","Testing")</f>
        <v>Testing</v>
      </c>
    </row>
    <row r="150" spans="1:17">
      <c r="A150">
        <v>3750000</v>
      </c>
      <c r="B150">
        <v>3400</v>
      </c>
      <c r="C150">
        <v>2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f t="shared" ca="1" si="4"/>
        <v>0.45159008709648596</v>
      </c>
      <c r="P150">
        <v>0.63059013084846505</v>
      </c>
      <c r="Q150" t="str">
        <f>IF(ROWS($A$2:A150)&lt;=ROUND(COUNTA($A:$A)*80%,0),"Training","Testing")</f>
        <v>Testing</v>
      </c>
    </row>
    <row r="151" spans="1:17">
      <c r="A151">
        <v>7150000</v>
      </c>
      <c r="B151">
        <v>6500</v>
      </c>
      <c r="C151">
        <v>5</v>
      </c>
      <c r="D151">
        <v>3</v>
      </c>
      <c r="E151">
        <v>3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3</v>
      </c>
      <c r="L151">
        <v>1</v>
      </c>
      <c r="M151">
        <v>1</v>
      </c>
      <c r="N151">
        <v>0</v>
      </c>
      <c r="O151">
        <f t="shared" ca="1" si="4"/>
        <v>4.2969607405093924E-2</v>
      </c>
      <c r="P151">
        <v>0.50839021999344902</v>
      </c>
      <c r="Q151" t="str">
        <f>IF(ROWS($A$2:A151)&lt;=ROUND(COUNTA($A:$A)*80%,0),"Training","Testing")</f>
        <v>Testing</v>
      </c>
    </row>
    <row r="152" spans="1:17">
      <c r="A152">
        <v>6550000</v>
      </c>
      <c r="B152">
        <v>6050</v>
      </c>
      <c r="C152">
        <v>4</v>
      </c>
      <c r="D152">
        <v>3</v>
      </c>
      <c r="E152">
        <v>2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2</v>
      </c>
      <c r="L152">
        <v>1</v>
      </c>
      <c r="M152">
        <v>1</v>
      </c>
      <c r="N152">
        <v>0</v>
      </c>
      <c r="O152">
        <f t="shared" ca="1" si="4"/>
        <v>0.3801331735734359</v>
      </c>
      <c r="P152">
        <v>0.8800998311203766</v>
      </c>
      <c r="Q152" t="str">
        <f>IF(ROWS($A$2:A152)&lt;=ROUND(COUNTA($A:$A)*80%,0),"Training","Testing")</f>
        <v>Testing</v>
      </c>
    </row>
    <row r="153" spans="1:17">
      <c r="A153">
        <v>6050000</v>
      </c>
      <c r="B153">
        <v>5750</v>
      </c>
      <c r="C153">
        <v>4</v>
      </c>
      <c r="D153">
        <v>3</v>
      </c>
      <c r="E153">
        <v>2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2</v>
      </c>
      <c r="L153">
        <v>1</v>
      </c>
      <c r="M153">
        <v>1</v>
      </c>
      <c r="N153">
        <v>0</v>
      </c>
      <c r="O153">
        <f t="shared" ca="1" si="4"/>
        <v>0.70542304565383795</v>
      </c>
      <c r="P153">
        <v>0.99084856746796146</v>
      </c>
      <c r="Q153" t="str">
        <f>IF(ROWS($A$2:A153)&lt;=ROUND(COUNTA($A:$A)*80%,0),"Training","Testing")</f>
        <v>Testing</v>
      </c>
    </row>
    <row r="154" spans="1:17">
      <c r="A154">
        <v>4150000</v>
      </c>
      <c r="B154">
        <v>3850</v>
      </c>
      <c r="C154">
        <v>3</v>
      </c>
      <c r="D154">
        <v>2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f t="shared" ca="1" si="4"/>
        <v>0.75660136426367797</v>
      </c>
      <c r="P154">
        <v>0.93778056096127471</v>
      </c>
      <c r="Q154" t="str">
        <f>IF(ROWS($A$2:A154)&lt;=ROUND(COUNTA($A:$A)*80%,0),"Training","Testing")</f>
        <v>Testing</v>
      </c>
    </row>
    <row r="155" spans="1:17">
      <c r="A155">
        <v>5300000</v>
      </c>
      <c r="B155">
        <v>4900</v>
      </c>
      <c r="C155">
        <v>3</v>
      </c>
      <c r="D155">
        <v>2</v>
      </c>
      <c r="E155">
        <v>2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0</v>
      </c>
      <c r="N155">
        <v>1</v>
      </c>
      <c r="O155">
        <f t="shared" ca="1" si="4"/>
        <v>0.55867245044972136</v>
      </c>
      <c r="P155">
        <v>0.54054472964238176</v>
      </c>
      <c r="Q155" t="str">
        <f>IF(ROWS($A$2:A155)&lt;=ROUND(COUNTA($A:$A)*80%,0),"Training","Testing")</f>
        <v>Testing</v>
      </c>
    </row>
    <row r="156" spans="1:17">
      <c r="A156">
        <v>3750000</v>
      </c>
      <c r="B156">
        <v>3300</v>
      </c>
      <c r="C156">
        <v>2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f t="shared" ca="1" si="4"/>
        <v>0.76258932880756514</v>
      </c>
      <c r="P156">
        <v>0.50473030599371005</v>
      </c>
      <c r="Q156" t="str">
        <f>IF(ROWS($A$2:A156)&lt;=ROUND(COUNTA($A:$A)*80%,0),"Training","Testing")</f>
        <v>Testing</v>
      </c>
    </row>
    <row r="157" spans="1:17">
      <c r="A157">
        <v>4700000</v>
      </c>
      <c r="B157">
        <v>4250</v>
      </c>
      <c r="C157">
        <v>3</v>
      </c>
      <c r="D157">
        <v>2</v>
      </c>
      <c r="E157">
        <v>2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2</v>
      </c>
      <c r="L157">
        <v>0</v>
      </c>
      <c r="M157">
        <v>0</v>
      </c>
      <c r="N157">
        <v>1</v>
      </c>
      <c r="O157">
        <f t="shared" ca="1" si="4"/>
        <v>0.51313229192901266</v>
      </c>
      <c r="P157">
        <v>1.3551749114967593E-2</v>
      </c>
      <c r="Q157" t="str">
        <f>IF(ROWS($A$2:A157)&lt;=ROUND(COUNTA($A:$A)*80%,0),"Training","Testing")</f>
        <v>Testing</v>
      </c>
    </row>
    <row r="158" spans="1:17">
      <c r="A158">
        <v>5850000</v>
      </c>
      <c r="B158">
        <v>5600</v>
      </c>
      <c r="C158">
        <v>4</v>
      </c>
      <c r="D158">
        <v>2</v>
      </c>
      <c r="E158">
        <v>2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2</v>
      </c>
      <c r="L158">
        <v>1</v>
      </c>
      <c r="M158">
        <v>1</v>
      </c>
      <c r="N158">
        <v>0</v>
      </c>
      <c r="O158">
        <f t="shared" ca="1" si="4"/>
        <v>0.81934271231017952</v>
      </c>
      <c r="P158">
        <v>0.86298220794495228</v>
      </c>
      <c r="Q158" t="str">
        <f>IF(ROWS($A$2:A158)&lt;=ROUND(COUNTA($A:$A)*80%,0),"Training","Testing")</f>
        <v>Testing</v>
      </c>
    </row>
    <row r="159" spans="1:17">
      <c r="A159">
        <v>3500000</v>
      </c>
      <c r="B159">
        <v>2950</v>
      </c>
      <c r="C159">
        <v>2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f t="shared" ca="1" si="4"/>
        <v>0.25885499041142346</v>
      </c>
      <c r="P159">
        <v>0.40951470651697353</v>
      </c>
      <c r="Q159" t="str">
        <f>IF(ROWS($A$2:A159)&lt;=ROUND(COUNTA($A:$A)*80%,0),"Training","Testing")</f>
        <v>Testing</v>
      </c>
    </row>
    <row r="160" spans="1:17">
      <c r="A160">
        <v>4150000</v>
      </c>
      <c r="B160">
        <v>3750</v>
      </c>
      <c r="C160">
        <v>3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f t="shared" ca="1" si="4"/>
        <v>0.34089177747888622</v>
      </c>
      <c r="P160">
        <v>0.51900299577390152</v>
      </c>
      <c r="Q160" t="str">
        <f>IF(ROWS($A$2:A160)&lt;=ROUND(COUNTA($A:$A)*80%,0),"Training","Testing")</f>
        <v>Testing</v>
      </c>
    </row>
    <row r="161" spans="1:17">
      <c r="A161">
        <v>5550000</v>
      </c>
      <c r="B161">
        <v>5200</v>
      </c>
      <c r="C161">
        <v>4</v>
      </c>
      <c r="D161">
        <v>2</v>
      </c>
      <c r="E161">
        <v>2</v>
      </c>
      <c r="F161">
        <v>1</v>
      </c>
      <c r="G161">
        <v>0</v>
      </c>
      <c r="H161">
        <v>1</v>
      </c>
      <c r="I161">
        <v>0</v>
      </c>
      <c r="J161">
        <v>1</v>
      </c>
      <c r="K161">
        <v>2</v>
      </c>
      <c r="L161">
        <v>0</v>
      </c>
      <c r="M161">
        <v>0</v>
      </c>
      <c r="N161">
        <v>1</v>
      </c>
      <c r="O161">
        <f t="shared" ca="1" si="4"/>
        <v>0.55238384681643637</v>
      </c>
      <c r="P161">
        <v>0.81143563433902044</v>
      </c>
      <c r="Q161" t="str">
        <f>IF(ROWS($A$2:A161)&lt;=ROUND(COUNTA($A:$A)*80%,0),"Training","Testing")</f>
        <v>Testing</v>
      </c>
    </row>
    <row r="162" spans="1:17">
      <c r="A162">
        <v>3850000</v>
      </c>
      <c r="B162">
        <v>3450</v>
      </c>
      <c r="C162">
        <v>2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f t="shared" ref="O162:O167" ca="1" si="5">RAND()</f>
        <v>0.13909547688540314</v>
      </c>
      <c r="P162">
        <v>0.4799634627254773</v>
      </c>
      <c r="Q162" t="str">
        <f>IF(ROWS($A$2:A162)&lt;=ROUND(COUNTA($A:$A)*80%,0),"Training","Testing")</f>
        <v>Testing</v>
      </c>
    </row>
    <row r="163" spans="1:17">
      <c r="A163">
        <v>7050000</v>
      </c>
      <c r="B163">
        <v>6550</v>
      </c>
      <c r="C163">
        <v>4</v>
      </c>
      <c r="D163">
        <v>3</v>
      </c>
      <c r="E163">
        <v>3</v>
      </c>
      <c r="F163">
        <v>1</v>
      </c>
      <c r="G163">
        <v>1</v>
      </c>
      <c r="H163">
        <v>0</v>
      </c>
      <c r="I163">
        <v>0</v>
      </c>
      <c r="J163">
        <v>1</v>
      </c>
      <c r="K163">
        <v>3</v>
      </c>
      <c r="L163">
        <v>1</v>
      </c>
      <c r="M163">
        <v>1</v>
      </c>
      <c r="N163">
        <v>0</v>
      </c>
      <c r="O163">
        <f t="shared" ca="1" si="5"/>
        <v>0.96898383015286305</v>
      </c>
      <c r="P163">
        <v>0.83283082210259085</v>
      </c>
      <c r="Q163" t="str">
        <f>IF(ROWS($A$2:A163)&lt;=ROUND(COUNTA($A:$A)*80%,0),"Training","Testing")</f>
        <v>Testing</v>
      </c>
    </row>
    <row r="164" spans="1:17">
      <c r="A164">
        <v>7600000</v>
      </c>
      <c r="B164">
        <v>6800</v>
      </c>
      <c r="C164">
        <v>5</v>
      </c>
      <c r="D164">
        <v>3</v>
      </c>
      <c r="E164">
        <v>3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3</v>
      </c>
      <c r="L164">
        <v>1</v>
      </c>
      <c r="M164">
        <v>1</v>
      </c>
      <c r="N164">
        <v>0</v>
      </c>
      <c r="O164">
        <f t="shared" ca="1" si="5"/>
        <v>0.11205849099215193</v>
      </c>
      <c r="P164">
        <v>0.31865646754074273</v>
      </c>
      <c r="Q164" t="str">
        <f>IF(ROWS($A$2:A164)&lt;=ROUND(COUNTA($A:$A)*80%,0),"Training","Testing")</f>
        <v>Testing</v>
      </c>
    </row>
    <row r="165" spans="1:17">
      <c r="A165">
        <v>5700000</v>
      </c>
      <c r="B165">
        <v>5350</v>
      </c>
      <c r="C165">
        <v>4</v>
      </c>
      <c r="D165">
        <v>2</v>
      </c>
      <c r="E165">
        <v>2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0</v>
      </c>
      <c r="O165">
        <f t="shared" ca="1" si="5"/>
        <v>0.80426415521415351</v>
      </c>
      <c r="P165">
        <v>0.19005145006553215</v>
      </c>
      <c r="Q165" t="str">
        <f>IF(ROWS($A$2:A165)&lt;=ROUND(COUNTA($A:$A)*80%,0),"Training","Testing")</f>
        <v>Testing</v>
      </c>
    </row>
    <row r="166" spans="1:17">
      <c r="A166">
        <v>7300000</v>
      </c>
      <c r="B166">
        <v>6600</v>
      </c>
      <c r="C166">
        <v>5</v>
      </c>
      <c r="D166">
        <v>3</v>
      </c>
      <c r="E166">
        <v>3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3</v>
      </c>
      <c r="L166">
        <v>1</v>
      </c>
      <c r="M166">
        <v>1</v>
      </c>
      <c r="N166">
        <v>0</v>
      </c>
      <c r="O166">
        <f t="shared" ca="1" si="5"/>
        <v>0.28388349986096539</v>
      </c>
      <c r="P166">
        <v>3.4498884149774423E-2</v>
      </c>
      <c r="Q166" t="str">
        <f>IF(ROWS($A$2:A166)&lt;=ROUND(COUNTA($A:$A)*80%,0),"Training","Testing")</f>
        <v>Testing</v>
      </c>
    </row>
    <row r="167" spans="1:17">
      <c r="A167">
        <v>4100000</v>
      </c>
      <c r="B167">
        <v>3550</v>
      </c>
      <c r="C167">
        <v>2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f t="shared" ca="1" si="5"/>
        <v>0.87667014302406676</v>
      </c>
      <c r="P167">
        <v>0.58282976816928334</v>
      </c>
      <c r="Q167" t="str">
        <f>IF(ROWS($A$2:A167)&lt;=ROUND(COUNTA($A:$A)*80%,0),"Training","Testing")</f>
        <v>Testing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1EF4-0B22-408C-A8B6-38C5A6A0901C}">
  <dimension ref="A1:AA135"/>
  <sheetViews>
    <sheetView zoomScale="120" zoomScaleNormal="120" workbookViewId="0">
      <selection activeCell="A14" sqref="A14"/>
    </sheetView>
  </sheetViews>
  <sheetFormatPr defaultRowHeight="14.5"/>
  <cols>
    <col min="1" max="1" width="8.81640625" bestFit="1" customWidth="1"/>
    <col min="2" max="2" width="4.81640625" bestFit="1" customWidth="1"/>
    <col min="3" max="13" width="3.36328125" bestFit="1" customWidth="1"/>
    <col min="14" max="15" width="11.81640625" hidden="1" customWidth="1"/>
    <col min="16" max="16" width="7.1796875" hidden="1" customWidth="1"/>
    <col min="19" max="19" width="18.54296875" bestFit="1" customWidth="1"/>
    <col min="20" max="20" width="12.54296875" bestFit="1" customWidth="1"/>
    <col min="21" max="21" width="24.1796875" customWidth="1"/>
    <col min="22" max="22" width="18.1796875" bestFit="1" customWidth="1"/>
    <col min="23" max="23" width="11.90625" bestFit="1" customWidth="1"/>
    <col min="24" max="24" width="12.81640625" bestFit="1" customWidth="1"/>
    <col min="25" max="27" width="12.453125" bestFit="1" customWidth="1"/>
  </cols>
  <sheetData>
    <row r="1" spans="1:27" ht="107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9</v>
      </c>
      <c r="J1" s="26" t="s">
        <v>10</v>
      </c>
      <c r="K1" s="26" t="s">
        <v>11</v>
      </c>
      <c r="L1" s="26" t="s">
        <v>12</v>
      </c>
      <c r="M1" s="26" t="s">
        <v>18</v>
      </c>
      <c r="N1" s="27" t="s">
        <v>29</v>
      </c>
      <c r="O1" s="27" t="s">
        <v>30</v>
      </c>
      <c r="P1" s="28" t="s">
        <v>31</v>
      </c>
      <c r="S1" t="s">
        <v>33</v>
      </c>
    </row>
    <row r="2" spans="1:27" ht="15" thickBot="1">
      <c r="A2" s="1">
        <v>4450000</v>
      </c>
      <c r="B2" s="2">
        <v>4100</v>
      </c>
      <c r="C2" s="2">
        <v>3</v>
      </c>
      <c r="D2" s="2">
        <v>2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2</v>
      </c>
      <c r="K2" s="2">
        <v>0</v>
      </c>
      <c r="L2" s="2">
        <v>0</v>
      </c>
      <c r="M2" s="2">
        <v>0</v>
      </c>
      <c r="N2" s="2">
        <f t="shared" ref="N2:N33" ca="1" si="0">RAND()</f>
        <v>4.2796063028668008E-2</v>
      </c>
      <c r="O2" s="2">
        <v>6.9638787411693492E-2</v>
      </c>
      <c r="P2" s="24" t="str">
        <f>IF(ROWS($A$2:A2)&lt;=ROUND(COUNTA($A:$A)*80%,0),"Training","Testing")</f>
        <v>Training</v>
      </c>
    </row>
    <row r="3" spans="1:27">
      <c r="A3" s="4">
        <v>3650000</v>
      </c>
      <c r="B3" s="5">
        <v>3200</v>
      </c>
      <c r="C3" s="5">
        <v>2</v>
      </c>
      <c r="D3" s="5">
        <v>1</v>
      </c>
      <c r="E3" s="5">
        <v>1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f t="shared" ca="1" si="0"/>
        <v>0.90281421530335182</v>
      </c>
      <c r="O3" s="5">
        <v>0.88118002162667919</v>
      </c>
      <c r="P3" s="6" t="str">
        <f>IF(ROWS($A$2:A3)&lt;=ROUND(COUNTA($A:$A)*80%,0),"Training","Testing")</f>
        <v>Training</v>
      </c>
      <c r="S3" s="32" t="s">
        <v>34</v>
      </c>
      <c r="T3" s="32"/>
    </row>
    <row r="4" spans="1:27">
      <c r="A4" s="1">
        <v>7750000</v>
      </c>
      <c r="B4" s="2">
        <v>7100</v>
      </c>
      <c r="C4" s="2">
        <v>5</v>
      </c>
      <c r="D4" s="2">
        <v>3</v>
      </c>
      <c r="E4" s="2">
        <v>3</v>
      </c>
      <c r="F4" s="2">
        <v>1</v>
      </c>
      <c r="G4" s="2">
        <v>1</v>
      </c>
      <c r="H4" s="2">
        <v>1</v>
      </c>
      <c r="I4" s="2">
        <v>1</v>
      </c>
      <c r="J4" s="2">
        <v>3</v>
      </c>
      <c r="K4" s="2">
        <v>1</v>
      </c>
      <c r="L4" s="2">
        <v>1</v>
      </c>
      <c r="M4" s="2">
        <v>0</v>
      </c>
      <c r="N4" s="2">
        <f t="shared" ca="1" si="0"/>
        <v>0.22620762038763709</v>
      </c>
      <c r="O4" s="2">
        <v>0.42849079222713726</v>
      </c>
      <c r="P4" s="3" t="str">
        <f>IF(ROWS($A$2:A4)&lt;=ROUND(COUNTA($A:$A)*80%,0),"Training","Testing")</f>
        <v>Training</v>
      </c>
      <c r="S4" s="29" t="s">
        <v>35</v>
      </c>
      <c r="T4" s="29">
        <v>0.87273524323802498</v>
      </c>
    </row>
    <row r="5" spans="1:27">
      <c r="A5" s="4">
        <v>5250000</v>
      </c>
      <c r="B5" s="5">
        <v>4850</v>
      </c>
      <c r="C5" s="5">
        <v>3</v>
      </c>
      <c r="D5" s="5">
        <v>2</v>
      </c>
      <c r="E5" s="5">
        <v>2</v>
      </c>
      <c r="F5" s="5">
        <v>1</v>
      </c>
      <c r="G5" s="5">
        <v>0</v>
      </c>
      <c r="H5" s="5">
        <v>0</v>
      </c>
      <c r="I5" s="5">
        <v>1</v>
      </c>
      <c r="J5" s="5">
        <v>2</v>
      </c>
      <c r="K5" s="5">
        <v>0</v>
      </c>
      <c r="L5" s="5">
        <v>0</v>
      </c>
      <c r="M5" s="5">
        <v>1</v>
      </c>
      <c r="N5" s="5">
        <f t="shared" ca="1" si="0"/>
        <v>0.90508273630155933</v>
      </c>
      <c r="O5" s="5">
        <v>0.89218027629109153</v>
      </c>
      <c r="P5" s="6" t="str">
        <f>IF(ROWS($A$2:A5)&lt;=ROUND(COUNTA($A:$A)*80%,0),"Training","Testing")</f>
        <v>Training</v>
      </c>
      <c r="S5" s="29" t="s">
        <v>36</v>
      </c>
      <c r="T5" s="29">
        <v>0.7616668047897347</v>
      </c>
    </row>
    <row r="6" spans="1:27">
      <c r="A6" s="1">
        <v>6450000</v>
      </c>
      <c r="B6" s="2">
        <v>5950</v>
      </c>
      <c r="C6" s="2">
        <v>4</v>
      </c>
      <c r="D6" s="2">
        <v>3</v>
      </c>
      <c r="E6" s="2">
        <v>2</v>
      </c>
      <c r="F6" s="2">
        <v>1</v>
      </c>
      <c r="G6" s="2">
        <v>1</v>
      </c>
      <c r="H6" s="2">
        <v>0</v>
      </c>
      <c r="I6" s="2">
        <v>1</v>
      </c>
      <c r="J6" s="2">
        <v>2</v>
      </c>
      <c r="K6" s="2">
        <v>1</v>
      </c>
      <c r="L6" s="2">
        <v>1</v>
      </c>
      <c r="M6" s="2">
        <v>0</v>
      </c>
      <c r="N6" s="2">
        <f t="shared" ca="1" si="0"/>
        <v>0.72070606758493283</v>
      </c>
      <c r="O6" s="2">
        <v>0.49901139428044328</v>
      </c>
      <c r="P6" s="3" t="str">
        <f>IF(ROWS($A$2:A6)&lt;=ROUND(COUNTA($A:$A)*80%,0),"Training","Testing")</f>
        <v>Training</v>
      </c>
      <c r="S6" s="29" t="s">
        <v>37</v>
      </c>
      <c r="T6" s="29">
        <v>0.73803045485152663</v>
      </c>
    </row>
    <row r="7" spans="1:27">
      <c r="A7" s="4">
        <v>4450000</v>
      </c>
      <c r="B7" s="5">
        <v>4100</v>
      </c>
      <c r="C7" s="5">
        <v>3</v>
      </c>
      <c r="D7" s="5">
        <v>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f t="shared" ca="1" si="0"/>
        <v>0.22531489997751031</v>
      </c>
      <c r="O7" s="5">
        <v>0.4987143526079082</v>
      </c>
      <c r="P7" s="6" t="str">
        <f>IF(ROWS($A$2:A7)&lt;=ROUND(COUNTA($A:$A)*80%,0),"Training","Testing")</f>
        <v>Training</v>
      </c>
      <c r="S7" s="29" t="s">
        <v>38</v>
      </c>
      <c r="T7" s="29">
        <v>1026767.4140407246</v>
      </c>
    </row>
    <row r="8" spans="1:27" ht="15" thickBot="1">
      <c r="A8" s="1">
        <v>8350000</v>
      </c>
      <c r="B8" s="2">
        <v>7400</v>
      </c>
      <c r="C8" s="2">
        <v>5</v>
      </c>
      <c r="D8" s="2">
        <v>3</v>
      </c>
      <c r="E8" s="2">
        <v>3</v>
      </c>
      <c r="F8" s="2">
        <v>1</v>
      </c>
      <c r="G8" s="2">
        <v>1</v>
      </c>
      <c r="H8" s="2">
        <v>1</v>
      </c>
      <c r="I8" s="2">
        <v>1</v>
      </c>
      <c r="J8" s="2">
        <v>3</v>
      </c>
      <c r="K8" s="2">
        <v>1</v>
      </c>
      <c r="L8" s="2">
        <v>1</v>
      </c>
      <c r="M8" s="2">
        <v>0</v>
      </c>
      <c r="N8" s="2">
        <f t="shared" ca="1" si="0"/>
        <v>0.94116717175879983</v>
      </c>
      <c r="O8" s="2">
        <v>0.69906201420519765</v>
      </c>
      <c r="P8" s="3" t="str">
        <f>IF(ROWS($A$2:A8)&lt;=ROUND(COUNTA($A:$A)*80%,0),"Training","Testing")</f>
        <v>Training</v>
      </c>
      <c r="S8" s="30" t="s">
        <v>39</v>
      </c>
      <c r="T8" s="30">
        <v>134</v>
      </c>
    </row>
    <row r="9" spans="1:27">
      <c r="A9" s="4">
        <v>3450000</v>
      </c>
      <c r="B9" s="5">
        <v>2950</v>
      </c>
      <c r="C9" s="5">
        <v>2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f t="shared" ca="1" si="0"/>
        <v>0.40760210641834449</v>
      </c>
      <c r="O9" s="5">
        <v>0.76531236972137451</v>
      </c>
      <c r="P9" s="6" t="str">
        <f>IF(ROWS($A$2:A9)&lt;=ROUND(COUNTA($A:$A)*80%,0),"Training","Testing")</f>
        <v>Training</v>
      </c>
    </row>
    <row r="10" spans="1:27" ht="15" thickBot="1">
      <c r="A10" s="1">
        <v>5550000</v>
      </c>
      <c r="B10" s="2">
        <v>5150</v>
      </c>
      <c r="C10" s="2">
        <v>4</v>
      </c>
      <c r="D10" s="2">
        <v>2</v>
      </c>
      <c r="E10" s="2">
        <v>2</v>
      </c>
      <c r="F10" s="2">
        <v>1</v>
      </c>
      <c r="G10" s="2">
        <v>0</v>
      </c>
      <c r="H10" s="2">
        <v>1</v>
      </c>
      <c r="I10" s="2">
        <v>1</v>
      </c>
      <c r="J10" s="2">
        <v>2</v>
      </c>
      <c r="K10" s="2">
        <v>0</v>
      </c>
      <c r="L10" s="2">
        <v>0</v>
      </c>
      <c r="M10" s="2">
        <v>1</v>
      </c>
      <c r="N10" s="2">
        <f t="shared" ca="1" si="0"/>
        <v>0.25170422561958083</v>
      </c>
      <c r="O10" s="2">
        <v>1.0501617584284917E-2</v>
      </c>
      <c r="P10" s="3" t="str">
        <f>IF(ROWS($A$2:A10)&lt;=ROUND(COUNTA($A:$A)*80%,0),"Training","Testing")</f>
        <v>Training</v>
      </c>
      <c r="S10" t="s">
        <v>40</v>
      </c>
    </row>
    <row r="11" spans="1:27">
      <c r="A11" s="4">
        <v>7250000</v>
      </c>
      <c r="B11" s="5">
        <v>6600</v>
      </c>
      <c r="C11" s="5">
        <v>5</v>
      </c>
      <c r="D11" s="5">
        <v>3</v>
      </c>
      <c r="E11" s="5">
        <v>3</v>
      </c>
      <c r="F11" s="5">
        <v>1</v>
      </c>
      <c r="G11" s="5">
        <v>1</v>
      </c>
      <c r="H11" s="5">
        <v>1</v>
      </c>
      <c r="I11" s="5">
        <v>1</v>
      </c>
      <c r="J11" s="5">
        <v>3</v>
      </c>
      <c r="K11" s="5">
        <v>1</v>
      </c>
      <c r="L11" s="5">
        <v>1</v>
      </c>
      <c r="M11" s="5">
        <v>0</v>
      </c>
      <c r="N11" s="5">
        <f t="shared" ca="1" si="0"/>
        <v>5.1849676485919205E-2</v>
      </c>
      <c r="O11" s="5">
        <v>0.42999649296948284</v>
      </c>
      <c r="P11" s="6" t="str">
        <f>IF(ROWS($A$2:A11)&lt;=ROUND(COUNTA($A:$A)*80%,0),"Training","Testing")</f>
        <v>Training</v>
      </c>
      <c r="S11" s="31"/>
      <c r="T11" s="31" t="s">
        <v>45</v>
      </c>
      <c r="U11" s="31" t="s">
        <v>46</v>
      </c>
      <c r="V11" s="31" t="s">
        <v>47</v>
      </c>
      <c r="W11" s="31" t="s">
        <v>48</v>
      </c>
      <c r="X11" s="31" t="s">
        <v>49</v>
      </c>
    </row>
    <row r="12" spans="1:27">
      <c r="A12" s="1">
        <v>6750000</v>
      </c>
      <c r="B12" s="2">
        <v>6200</v>
      </c>
      <c r="C12" s="2">
        <v>4</v>
      </c>
      <c r="D12" s="2">
        <v>3</v>
      </c>
      <c r="E12" s="2">
        <v>2</v>
      </c>
      <c r="F12" s="2">
        <v>1</v>
      </c>
      <c r="G12" s="2">
        <v>1</v>
      </c>
      <c r="H12" s="2">
        <v>0</v>
      </c>
      <c r="I12" s="2">
        <v>1</v>
      </c>
      <c r="J12" s="2">
        <v>2</v>
      </c>
      <c r="K12" s="2">
        <v>1</v>
      </c>
      <c r="L12" s="2">
        <v>1</v>
      </c>
      <c r="M12" s="2">
        <v>0</v>
      </c>
      <c r="N12" s="2">
        <f t="shared" ca="1" si="0"/>
        <v>0.2814605732724359</v>
      </c>
      <c r="O12" s="2">
        <v>0.86838923775836152</v>
      </c>
      <c r="P12" s="3" t="str">
        <f>IF(ROWS($A$2:A12)&lt;=ROUND(COUNTA($A:$A)*80%,0),"Training","Testing")</f>
        <v>Training</v>
      </c>
      <c r="S12" s="29" t="s">
        <v>41</v>
      </c>
      <c r="T12" s="29">
        <v>12</v>
      </c>
      <c r="U12" s="29">
        <v>407671186988084.38</v>
      </c>
      <c r="V12" s="29">
        <v>33972598915673.699</v>
      </c>
      <c r="W12" s="29">
        <v>32.224383493261008</v>
      </c>
      <c r="X12" s="29">
        <v>4.7181015206513732E-32</v>
      </c>
    </row>
    <row r="13" spans="1:27">
      <c r="A13" s="4">
        <v>8900000</v>
      </c>
      <c r="B13" s="5">
        <v>4550</v>
      </c>
      <c r="C13" s="5">
        <v>3</v>
      </c>
      <c r="D13" s="5">
        <v>2</v>
      </c>
      <c r="E13" s="5">
        <v>2</v>
      </c>
      <c r="F13" s="5">
        <v>0</v>
      </c>
      <c r="G13" s="5">
        <v>0</v>
      </c>
      <c r="H13" s="5">
        <v>1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f t="shared" ca="1" si="0"/>
        <v>0.14970969870087003</v>
      </c>
      <c r="O13" s="5">
        <v>0.30677148904036422</v>
      </c>
      <c r="P13" s="6" t="str">
        <f>IF(ROWS($A$2:A13)&lt;=ROUND(COUNTA($A:$A)*80%,0),"Training","Testing")</f>
        <v>Training</v>
      </c>
      <c r="S13" s="29" t="s">
        <v>42</v>
      </c>
      <c r="T13" s="29">
        <v>121</v>
      </c>
      <c r="U13" s="29">
        <v>127564410026841.09</v>
      </c>
      <c r="V13" s="29">
        <v>1054251322535.8768</v>
      </c>
      <c r="W13" s="29"/>
      <c r="X13" s="29"/>
    </row>
    <row r="14" spans="1:27" ht="15" thickBot="1">
      <c r="A14" s="1">
        <v>11400000</v>
      </c>
      <c r="B14" s="2">
        <v>5900</v>
      </c>
      <c r="C14" s="2">
        <v>3</v>
      </c>
      <c r="D14" s="2">
        <v>2</v>
      </c>
      <c r="E14" s="2">
        <v>2</v>
      </c>
      <c r="F14" s="2">
        <v>1</v>
      </c>
      <c r="G14" s="2">
        <v>0</v>
      </c>
      <c r="H14" s="2">
        <v>1</v>
      </c>
      <c r="I14" s="2">
        <v>1</v>
      </c>
      <c r="J14" s="2">
        <v>2</v>
      </c>
      <c r="K14" s="2">
        <v>1</v>
      </c>
      <c r="L14" s="2">
        <v>0</v>
      </c>
      <c r="M14" s="2">
        <v>1</v>
      </c>
      <c r="N14" s="2">
        <f t="shared" ca="1" si="0"/>
        <v>0.25077255984365099</v>
      </c>
      <c r="O14" s="2">
        <v>0.58381996762978094</v>
      </c>
      <c r="P14" s="3" t="str">
        <f>IF(ROWS($A$2:A14)&lt;=ROUND(COUNTA($A:$A)*80%,0),"Training","Testing")</f>
        <v>Training</v>
      </c>
      <c r="S14" s="30" t="s">
        <v>43</v>
      </c>
      <c r="T14" s="30">
        <v>133</v>
      </c>
      <c r="U14" s="30">
        <v>535235597014925.5</v>
      </c>
      <c r="V14" s="30"/>
      <c r="W14" s="30"/>
      <c r="X14" s="30"/>
    </row>
    <row r="15" spans="1:27" ht="15" thickBot="1">
      <c r="A15" s="4">
        <v>8450000</v>
      </c>
      <c r="B15" s="5">
        <v>7800</v>
      </c>
      <c r="C15" s="5">
        <v>5</v>
      </c>
      <c r="D15" s="5">
        <v>4</v>
      </c>
      <c r="E15" s="5">
        <v>3</v>
      </c>
      <c r="F15" s="5">
        <v>1</v>
      </c>
      <c r="G15" s="5">
        <v>1</v>
      </c>
      <c r="H15" s="5">
        <v>1</v>
      </c>
      <c r="I15" s="5">
        <v>1</v>
      </c>
      <c r="J15" s="5">
        <v>3</v>
      </c>
      <c r="K15" s="5">
        <v>1</v>
      </c>
      <c r="L15" s="5">
        <v>1</v>
      </c>
      <c r="M15" s="5">
        <v>0</v>
      </c>
      <c r="N15" s="5">
        <f t="shared" ca="1" si="0"/>
        <v>9.635260156029779E-2</v>
      </c>
      <c r="O15" s="5">
        <v>0.43155482543062962</v>
      </c>
      <c r="P15" s="6" t="str">
        <f>IF(ROWS($A$2:A15)&lt;=ROUND(COUNTA($A:$A)*80%,0),"Training","Testing")</f>
        <v>Training</v>
      </c>
    </row>
    <row r="16" spans="1:27">
      <c r="A16" s="1">
        <v>4750000</v>
      </c>
      <c r="B16" s="2">
        <v>4400</v>
      </c>
      <c r="C16" s="2">
        <v>3</v>
      </c>
      <c r="D16" s="2">
        <v>2</v>
      </c>
      <c r="E16" s="2">
        <v>2</v>
      </c>
      <c r="F16" s="2">
        <v>1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1</v>
      </c>
      <c r="N16" s="2">
        <f t="shared" ca="1" si="0"/>
        <v>0.18935314966335093</v>
      </c>
      <c r="O16" s="2">
        <v>0.34875592791987275</v>
      </c>
      <c r="P16" s="3" t="str">
        <f>IF(ROWS($A$2:A16)&lt;=ROUND(COUNTA($A:$A)*80%,0),"Training","Testing")</f>
        <v>Training</v>
      </c>
      <c r="S16" s="31"/>
      <c r="T16" s="31" t="s">
        <v>50</v>
      </c>
      <c r="U16" s="31" t="s">
        <v>38</v>
      </c>
      <c r="V16" s="31" t="s">
        <v>51</v>
      </c>
      <c r="W16" s="31" t="s">
        <v>52</v>
      </c>
      <c r="X16" s="31" t="s">
        <v>53</v>
      </c>
      <c r="Y16" s="31" t="s">
        <v>54</v>
      </c>
      <c r="Z16" s="31" t="s">
        <v>55</v>
      </c>
      <c r="AA16" s="31" t="s">
        <v>56</v>
      </c>
    </row>
    <row r="17" spans="1:27">
      <c r="A17" s="4">
        <v>3600000</v>
      </c>
      <c r="B17" s="5">
        <v>3200</v>
      </c>
      <c r="C17" s="5">
        <v>2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f t="shared" ca="1" si="0"/>
        <v>0.38946220121819586</v>
      </c>
      <c r="O17" s="5">
        <v>0.92049057840827153</v>
      </c>
      <c r="P17" s="6" t="str">
        <f>IF(ROWS($A$2:A17)&lt;=ROUND(COUNTA($A:$A)*80%,0),"Training","Testing")</f>
        <v>Training</v>
      </c>
      <c r="S17" s="29" t="s">
        <v>44</v>
      </c>
      <c r="T17" s="29">
        <v>29479.69672586146</v>
      </c>
      <c r="U17" s="29">
        <v>740734.30483221565</v>
      </c>
      <c r="V17" s="29">
        <v>3.9797936363348163E-2</v>
      </c>
      <c r="W17" s="29">
        <v>0.96831981253473498</v>
      </c>
      <c r="X17" s="29">
        <v>-1436999.2376255768</v>
      </c>
      <c r="Y17" s="29">
        <v>1495958.6310772996</v>
      </c>
      <c r="Z17" s="29">
        <v>-1436999.2376255768</v>
      </c>
      <c r="AA17" s="29">
        <v>1495958.6310772996</v>
      </c>
    </row>
    <row r="18" spans="1:27">
      <c r="A18" s="1">
        <v>4450000</v>
      </c>
      <c r="B18" s="2">
        <v>4100</v>
      </c>
      <c r="C18" s="2">
        <v>3</v>
      </c>
      <c r="D18" s="2">
        <v>2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0</v>
      </c>
      <c r="M18" s="2">
        <v>0</v>
      </c>
      <c r="N18" s="2">
        <f t="shared" ca="1" si="0"/>
        <v>4.0490479049168249E-2</v>
      </c>
      <c r="O18" s="2">
        <v>0.68046833472517143</v>
      </c>
      <c r="P18" s="3" t="str">
        <f>IF(ROWS($A$2:A18)&lt;=ROUND(COUNTA($A:$A)*80%,0),"Training","Testing")</f>
        <v>Training</v>
      </c>
      <c r="S18" s="29" t="s">
        <v>1</v>
      </c>
      <c r="T18" s="29">
        <v>2184.291691645572</v>
      </c>
      <c r="U18" s="29">
        <v>270.11890997748776</v>
      </c>
      <c r="V18" s="29">
        <v>8.0864079150460633</v>
      </c>
      <c r="W18" s="29">
        <v>5.3548280581712661E-13</v>
      </c>
      <c r="X18" s="29">
        <v>1649.5200621046874</v>
      </c>
      <c r="Y18" s="29">
        <v>2719.0633211864565</v>
      </c>
      <c r="Z18" s="29">
        <v>1649.5200621046874</v>
      </c>
      <c r="AA18" s="29">
        <v>2719.0633211864565</v>
      </c>
    </row>
    <row r="19" spans="1:27">
      <c r="A19" s="4">
        <v>5150000</v>
      </c>
      <c r="B19" s="5">
        <v>4700</v>
      </c>
      <c r="C19" s="5">
        <v>3</v>
      </c>
      <c r="D19" s="5">
        <v>2</v>
      </c>
      <c r="E19" s="5">
        <v>2</v>
      </c>
      <c r="F19" s="5">
        <v>1</v>
      </c>
      <c r="G19" s="5">
        <v>0</v>
      </c>
      <c r="H19" s="5">
        <v>0</v>
      </c>
      <c r="I19" s="5">
        <v>1</v>
      </c>
      <c r="J19" s="5">
        <v>2</v>
      </c>
      <c r="K19" s="5">
        <v>0</v>
      </c>
      <c r="L19" s="5">
        <v>0</v>
      </c>
      <c r="M19" s="5">
        <v>1</v>
      </c>
      <c r="N19" s="5">
        <f t="shared" ca="1" si="0"/>
        <v>0.94295475396248174</v>
      </c>
      <c r="O19" s="5">
        <v>0.78858348946721613</v>
      </c>
      <c r="P19" s="6" t="str">
        <f>IF(ROWS($A$2:A19)&lt;=ROUND(COUNTA($A:$A)*80%,0),"Training","Testing")</f>
        <v>Training</v>
      </c>
      <c r="S19" s="29" t="s">
        <v>2</v>
      </c>
      <c r="T19" s="29">
        <v>-803178.87752729724</v>
      </c>
      <c r="U19" s="29">
        <v>345761.59745147527</v>
      </c>
      <c r="V19" s="29">
        <v>-2.3229267895779451</v>
      </c>
      <c r="W19" s="29">
        <v>2.1853097382498982E-2</v>
      </c>
      <c r="X19" s="29">
        <v>-1487705.1586277024</v>
      </c>
      <c r="Y19" s="29">
        <v>-118652.59642689209</v>
      </c>
      <c r="Z19" s="29">
        <v>-1487705.1586277024</v>
      </c>
      <c r="AA19" s="29">
        <v>-118652.59642689209</v>
      </c>
    </row>
    <row r="20" spans="1:27">
      <c r="A20" s="1">
        <v>4950000</v>
      </c>
      <c r="B20" s="2">
        <v>4550</v>
      </c>
      <c r="C20" s="2">
        <v>3</v>
      </c>
      <c r="D20" s="2">
        <v>2</v>
      </c>
      <c r="E20" s="2">
        <v>2</v>
      </c>
      <c r="F20" s="2">
        <v>1</v>
      </c>
      <c r="G20" s="2">
        <v>0</v>
      </c>
      <c r="H20" s="2">
        <v>0</v>
      </c>
      <c r="I20" s="2">
        <v>1</v>
      </c>
      <c r="J20" s="2">
        <v>2</v>
      </c>
      <c r="K20" s="2">
        <v>0</v>
      </c>
      <c r="L20" s="2">
        <v>0</v>
      </c>
      <c r="M20" s="2">
        <v>1</v>
      </c>
      <c r="N20" s="2">
        <f t="shared" ca="1" si="0"/>
        <v>0.98068352280505788</v>
      </c>
      <c r="O20" s="2">
        <v>5.0227879934866326E-2</v>
      </c>
      <c r="P20" s="3" t="str">
        <f>IF(ROWS($A$2:A20)&lt;=ROUND(COUNTA($A:$A)*80%,0),"Training","Testing")</f>
        <v>Training</v>
      </c>
      <c r="S20" s="29" t="s">
        <v>3</v>
      </c>
      <c r="T20" s="29">
        <v>-446678.09822426719</v>
      </c>
      <c r="U20" s="29">
        <v>282769.52702692966</v>
      </c>
      <c r="V20" s="29">
        <v>-1.5796542962768674</v>
      </c>
      <c r="W20" s="29">
        <v>0.1167967242849299</v>
      </c>
      <c r="X20" s="29">
        <v>-1006494.9609729697</v>
      </c>
      <c r="Y20" s="29">
        <v>113138.76452443533</v>
      </c>
      <c r="Z20" s="29">
        <v>-1006494.9609729697</v>
      </c>
      <c r="AA20" s="29">
        <v>113138.76452443533</v>
      </c>
    </row>
    <row r="21" spans="1:27">
      <c r="A21" s="4">
        <v>6900000</v>
      </c>
      <c r="B21" s="5">
        <v>6300</v>
      </c>
      <c r="C21" s="5">
        <v>4</v>
      </c>
      <c r="D21" s="5">
        <v>3</v>
      </c>
      <c r="E21" s="5">
        <v>3</v>
      </c>
      <c r="F21" s="5">
        <v>1</v>
      </c>
      <c r="G21" s="5">
        <v>1</v>
      </c>
      <c r="H21" s="5">
        <v>1</v>
      </c>
      <c r="I21" s="5">
        <v>1</v>
      </c>
      <c r="J21" s="5">
        <v>3</v>
      </c>
      <c r="K21" s="5">
        <v>1</v>
      </c>
      <c r="L21" s="5">
        <v>1</v>
      </c>
      <c r="M21" s="5">
        <v>0</v>
      </c>
      <c r="N21" s="5">
        <f t="shared" ca="1" si="0"/>
        <v>0.2389005366752186</v>
      </c>
      <c r="O21" s="5">
        <v>0.11053296908187227</v>
      </c>
      <c r="P21" s="6" t="str">
        <f>IF(ROWS($A$2:A21)&lt;=ROUND(COUNTA($A:$A)*80%,0),"Training","Testing")</f>
        <v>Training</v>
      </c>
      <c r="S21" s="29" t="s">
        <v>4</v>
      </c>
      <c r="T21" s="29">
        <v>532097.04569222988</v>
      </c>
      <c r="U21" s="29">
        <v>402563.43076961586</v>
      </c>
      <c r="V21" s="29">
        <v>1.3217719370956602</v>
      </c>
      <c r="W21" s="29">
        <v>0.18873763947194702</v>
      </c>
      <c r="X21" s="29">
        <v>-264883.44665530103</v>
      </c>
      <c r="Y21" s="29">
        <v>1329077.5380397607</v>
      </c>
      <c r="Z21" s="29">
        <v>-264883.44665530103</v>
      </c>
      <c r="AA21" s="29">
        <v>1329077.5380397607</v>
      </c>
    </row>
    <row r="22" spans="1:27">
      <c r="A22" s="1">
        <v>4800000</v>
      </c>
      <c r="B22" s="2">
        <v>4450</v>
      </c>
      <c r="C22" s="2">
        <v>3</v>
      </c>
      <c r="D22" s="2">
        <v>2</v>
      </c>
      <c r="E22" s="2">
        <v>2</v>
      </c>
      <c r="F22" s="2">
        <v>1</v>
      </c>
      <c r="G22" s="2">
        <v>0</v>
      </c>
      <c r="H22" s="2">
        <v>0</v>
      </c>
      <c r="I22" s="2">
        <v>1</v>
      </c>
      <c r="J22" s="2">
        <v>2</v>
      </c>
      <c r="K22" s="2">
        <v>0</v>
      </c>
      <c r="L22" s="2">
        <v>0</v>
      </c>
      <c r="M22" s="2">
        <v>1</v>
      </c>
      <c r="N22" s="2">
        <f t="shared" ca="1" si="0"/>
        <v>0.34436183872844084</v>
      </c>
      <c r="O22" s="2">
        <v>0.50441911955396002</v>
      </c>
      <c r="P22" s="3" t="str">
        <f>IF(ROWS($A$2:A22)&lt;=ROUND(COUNTA($A:$A)*80%,0),"Training","Testing")</f>
        <v>Training</v>
      </c>
      <c r="S22" s="29" t="s">
        <v>5</v>
      </c>
      <c r="T22" s="29">
        <v>-43488.550654273728</v>
      </c>
      <c r="U22" s="29">
        <v>466239.99031781888</v>
      </c>
      <c r="V22" s="29">
        <v>-9.3275033367749435E-2</v>
      </c>
      <c r="W22" s="29">
        <v>0.92583933444273758</v>
      </c>
      <c r="X22" s="29">
        <v>-966533.58811635314</v>
      </c>
      <c r="Y22" s="29">
        <v>879556.48680780572</v>
      </c>
      <c r="Z22" s="29">
        <v>-966533.58811635314</v>
      </c>
      <c r="AA22" s="29">
        <v>879556.48680780572</v>
      </c>
    </row>
    <row r="23" spans="1:27">
      <c r="A23" s="4">
        <v>5200000</v>
      </c>
      <c r="B23" s="5">
        <v>4600</v>
      </c>
      <c r="C23" s="5">
        <v>3</v>
      </c>
      <c r="D23" s="5">
        <v>2</v>
      </c>
      <c r="E23" s="5">
        <v>2</v>
      </c>
      <c r="F23" s="5">
        <v>1</v>
      </c>
      <c r="G23" s="5">
        <v>0</v>
      </c>
      <c r="H23" s="5">
        <v>0</v>
      </c>
      <c r="I23" s="5">
        <v>1</v>
      </c>
      <c r="J23" s="5">
        <v>2</v>
      </c>
      <c r="K23" s="5">
        <v>0</v>
      </c>
      <c r="L23" s="5">
        <v>0</v>
      </c>
      <c r="M23" s="5">
        <v>1</v>
      </c>
      <c r="N23" s="5">
        <f t="shared" ca="1" si="0"/>
        <v>0.64398176423559828</v>
      </c>
      <c r="O23" s="5">
        <v>0.99167088459238206</v>
      </c>
      <c r="P23" s="6" t="str">
        <f>IF(ROWS($A$2:A23)&lt;=ROUND(COUNTA($A:$A)*80%,0),"Training","Testing")</f>
        <v>Training</v>
      </c>
      <c r="S23" s="29" t="s">
        <v>6</v>
      </c>
      <c r="T23" s="29">
        <v>-2892120.7617330477</v>
      </c>
      <c r="U23" s="29">
        <v>822110.50359278265</v>
      </c>
      <c r="V23" s="29">
        <v>-3.5179221638623006</v>
      </c>
      <c r="W23" s="29">
        <v>6.1342695725673116E-4</v>
      </c>
      <c r="X23" s="29">
        <v>-4519705.3455210924</v>
      </c>
      <c r="Y23" s="29">
        <v>-1264536.1779450034</v>
      </c>
      <c r="Z23" s="29">
        <v>-4519705.3455210924</v>
      </c>
      <c r="AA23" s="29">
        <v>-1264536.1779450034</v>
      </c>
    </row>
    <row r="24" spans="1:27">
      <c r="A24" s="1">
        <v>4750000</v>
      </c>
      <c r="B24" s="2">
        <v>4400</v>
      </c>
      <c r="C24" s="2">
        <v>3</v>
      </c>
      <c r="D24" s="2">
        <v>2</v>
      </c>
      <c r="E24" s="2">
        <v>2</v>
      </c>
      <c r="F24" s="2">
        <v>1</v>
      </c>
      <c r="G24" s="2">
        <v>0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1</v>
      </c>
      <c r="N24" s="2">
        <f t="shared" ca="1" si="0"/>
        <v>0.28706548117799657</v>
      </c>
      <c r="O24" s="2">
        <v>0.67714346396670155</v>
      </c>
      <c r="P24" s="3" t="str">
        <f>IF(ROWS($A$2:A24)&lt;=ROUND(COUNTA($A:$A)*80%,0),"Training","Testing")</f>
        <v>Training</v>
      </c>
      <c r="S24" s="29" t="s">
        <v>7</v>
      </c>
      <c r="T24" s="29">
        <v>271881.68791068153</v>
      </c>
      <c r="U24" s="29">
        <v>286978.82657375321</v>
      </c>
      <c r="V24" s="29">
        <v>0.94739284830411796</v>
      </c>
      <c r="W24" s="29">
        <v>0.3453268496320252</v>
      </c>
      <c r="X24" s="29">
        <v>-296268.59354635252</v>
      </c>
      <c r="Y24" s="29">
        <v>840031.96936771553</v>
      </c>
      <c r="Z24" s="29">
        <v>-296268.59354635252</v>
      </c>
      <c r="AA24" s="29">
        <v>840031.96936771553</v>
      </c>
    </row>
    <row r="25" spans="1:27">
      <c r="A25" s="4">
        <v>7450000</v>
      </c>
      <c r="B25" s="5">
        <v>6800</v>
      </c>
      <c r="C25" s="5">
        <v>5</v>
      </c>
      <c r="D25" s="5">
        <v>3</v>
      </c>
      <c r="E25" s="5">
        <v>3</v>
      </c>
      <c r="F25" s="5">
        <v>1</v>
      </c>
      <c r="G25" s="5">
        <v>1</v>
      </c>
      <c r="H25" s="5">
        <v>1</v>
      </c>
      <c r="I25" s="5">
        <v>1</v>
      </c>
      <c r="J25" s="5">
        <v>3</v>
      </c>
      <c r="K25" s="5">
        <v>1</v>
      </c>
      <c r="L25" s="5">
        <v>1</v>
      </c>
      <c r="M25" s="5">
        <v>0</v>
      </c>
      <c r="N25" s="5">
        <f t="shared" ca="1" si="0"/>
        <v>0.76591368411039684</v>
      </c>
      <c r="O25" s="5">
        <v>0.38249651273371066</v>
      </c>
      <c r="P25" s="6" t="str">
        <f>IF(ROWS($A$2:A25)&lt;=ROUND(COUNTA($A:$A)*80%,0),"Training","Testing")</f>
        <v>Training</v>
      </c>
      <c r="S25" s="29" t="s">
        <v>9</v>
      </c>
      <c r="T25" s="29">
        <v>-661981.15180784022</v>
      </c>
      <c r="U25" s="29">
        <v>457767.14405000105</v>
      </c>
      <c r="V25" s="29">
        <v>-1.4461089233078144</v>
      </c>
      <c r="W25" s="29">
        <v>0.15073196561973573</v>
      </c>
      <c r="X25" s="29">
        <v>-1568251.9552636151</v>
      </c>
      <c r="Y25" s="29">
        <v>244289.65164793457</v>
      </c>
      <c r="Z25" s="29">
        <v>-1568251.9552636151</v>
      </c>
      <c r="AA25" s="29">
        <v>244289.65164793457</v>
      </c>
    </row>
    <row r="26" spans="1:27">
      <c r="A26" s="1">
        <v>6650000</v>
      </c>
      <c r="B26" s="2">
        <v>6150</v>
      </c>
      <c r="C26" s="2">
        <v>4</v>
      </c>
      <c r="D26" s="2">
        <v>3</v>
      </c>
      <c r="E26" s="2">
        <v>2</v>
      </c>
      <c r="F26" s="2">
        <v>1</v>
      </c>
      <c r="G26" s="2">
        <v>1</v>
      </c>
      <c r="H26" s="2">
        <v>0</v>
      </c>
      <c r="I26" s="2">
        <v>1</v>
      </c>
      <c r="J26" s="2">
        <v>2</v>
      </c>
      <c r="K26" s="2">
        <v>1</v>
      </c>
      <c r="L26" s="2">
        <v>1</v>
      </c>
      <c r="M26" s="2">
        <v>0</v>
      </c>
      <c r="N26" s="2">
        <f t="shared" ca="1" si="0"/>
        <v>0.37218096406537859</v>
      </c>
      <c r="O26" s="2">
        <v>0.61882182213227632</v>
      </c>
      <c r="P26" s="3" t="str">
        <f>IF(ROWS($A$2:A26)&lt;=ROUND(COUNTA($A:$A)*80%,0),"Training","Testing")</f>
        <v>Training</v>
      </c>
      <c r="S26" s="29" t="s">
        <v>10</v>
      </c>
      <c r="T26" s="29">
        <v>-1355841.8763977194</v>
      </c>
      <c r="U26" s="29">
        <v>360630.71651023789</v>
      </c>
      <c r="V26" s="29">
        <v>-3.7596405805860651</v>
      </c>
      <c r="W26" s="29">
        <v>2.6345687909027407E-4</v>
      </c>
      <c r="X26" s="29">
        <v>-2069805.5005910411</v>
      </c>
      <c r="Y26" s="29">
        <v>-641878.25220439781</v>
      </c>
      <c r="Z26" s="29">
        <v>-2069805.5005910411</v>
      </c>
      <c r="AA26" s="29">
        <v>-641878.25220439781</v>
      </c>
    </row>
    <row r="27" spans="1:27">
      <c r="A27" s="4">
        <v>5150000</v>
      </c>
      <c r="B27" s="5">
        <v>4800</v>
      </c>
      <c r="C27" s="5">
        <v>3</v>
      </c>
      <c r="D27" s="5">
        <v>2</v>
      </c>
      <c r="E27" s="5">
        <v>2</v>
      </c>
      <c r="F27" s="5">
        <v>1</v>
      </c>
      <c r="G27" s="5">
        <v>0</v>
      </c>
      <c r="H27" s="5">
        <v>1</v>
      </c>
      <c r="I27" s="5">
        <v>1</v>
      </c>
      <c r="J27" s="5">
        <v>2</v>
      </c>
      <c r="K27" s="5">
        <v>0</v>
      </c>
      <c r="L27" s="5">
        <v>0</v>
      </c>
      <c r="M27" s="5">
        <v>1</v>
      </c>
      <c r="N27" s="5">
        <f t="shared" ca="1" si="0"/>
        <v>0.89745074693406857</v>
      </c>
      <c r="O27" s="5">
        <v>0.39197383037785161</v>
      </c>
      <c r="P27" s="6" t="str">
        <f>IF(ROWS($A$2:A27)&lt;=ROUND(COUNTA($A:$A)*80%,0),"Training","Testing")</f>
        <v>Training</v>
      </c>
      <c r="S27" s="29" t="s">
        <v>11</v>
      </c>
      <c r="T27" s="29">
        <v>1513409.8551406378</v>
      </c>
      <c r="U27" s="29">
        <v>650800.63230053522</v>
      </c>
      <c r="V27" s="29">
        <v>2.3254584891702375</v>
      </c>
      <c r="W27" s="29">
        <v>2.1712686983112007E-2</v>
      </c>
      <c r="X27" s="29">
        <v>224978.34669644642</v>
      </c>
      <c r="Y27" s="29">
        <v>2801841.3635848295</v>
      </c>
      <c r="Z27" s="29">
        <v>224978.34669644642</v>
      </c>
      <c r="AA27" s="29">
        <v>2801841.3635848295</v>
      </c>
    </row>
    <row r="28" spans="1:27">
      <c r="A28" s="1">
        <v>6250000</v>
      </c>
      <c r="B28" s="2">
        <v>5800</v>
      </c>
      <c r="C28" s="2">
        <v>4</v>
      </c>
      <c r="D28" s="2">
        <v>3</v>
      </c>
      <c r="E28" s="2">
        <v>2</v>
      </c>
      <c r="F28" s="2">
        <v>1</v>
      </c>
      <c r="G28" s="2">
        <v>1</v>
      </c>
      <c r="H28" s="2">
        <v>0</v>
      </c>
      <c r="I28" s="2">
        <v>1</v>
      </c>
      <c r="J28" s="2">
        <v>2</v>
      </c>
      <c r="K28" s="2">
        <v>1</v>
      </c>
      <c r="L28" s="2">
        <v>1</v>
      </c>
      <c r="M28" s="2">
        <v>0</v>
      </c>
      <c r="N28" s="2">
        <f t="shared" ca="1" si="0"/>
        <v>0.87153230750190602</v>
      </c>
      <c r="O28" s="2">
        <v>0.30030609639260264</v>
      </c>
      <c r="P28" s="3" t="str">
        <f>IF(ROWS($A$2:A28)&lt;=ROUND(COUNTA($A:$A)*80%,0),"Training","Testing")</f>
        <v>Training</v>
      </c>
      <c r="S28" s="29" t="s">
        <v>12</v>
      </c>
      <c r="T28" s="29">
        <v>2078764.64434188</v>
      </c>
      <c r="U28" s="29">
        <v>1159253.8060496449</v>
      </c>
      <c r="V28" s="29">
        <v>1.7931919942757186</v>
      </c>
      <c r="W28" s="29">
        <v>7.5440270333933288E-2</v>
      </c>
      <c r="X28" s="29">
        <v>-216284.03242165316</v>
      </c>
      <c r="Y28" s="29">
        <v>4373813.3211054131</v>
      </c>
      <c r="Z28" s="29">
        <v>-216284.03242165316</v>
      </c>
      <c r="AA28" s="29">
        <v>4373813.3211054131</v>
      </c>
    </row>
    <row r="29" spans="1:27" ht="15" thickBot="1">
      <c r="A29" s="4">
        <v>7550000</v>
      </c>
      <c r="B29" s="5">
        <v>6900</v>
      </c>
      <c r="C29" s="5">
        <v>5</v>
      </c>
      <c r="D29" s="5">
        <v>3</v>
      </c>
      <c r="E29" s="5">
        <v>3</v>
      </c>
      <c r="F29" s="5">
        <v>1</v>
      </c>
      <c r="G29" s="5">
        <v>1</v>
      </c>
      <c r="H29" s="5">
        <v>1</v>
      </c>
      <c r="I29" s="5">
        <v>1</v>
      </c>
      <c r="J29" s="5">
        <v>3</v>
      </c>
      <c r="K29" s="5">
        <v>1</v>
      </c>
      <c r="L29" s="5">
        <v>1</v>
      </c>
      <c r="M29" s="5">
        <v>0</v>
      </c>
      <c r="N29" s="5">
        <f t="shared" ca="1" si="0"/>
        <v>0.26167730161955172</v>
      </c>
      <c r="O29" s="5">
        <v>5.164158493924742E-2</v>
      </c>
      <c r="P29" s="6" t="str">
        <f>IF(ROWS($A$2:A29)&lt;=ROUND(COUNTA($A:$A)*80%,0),"Training","Testing")</f>
        <v>Training</v>
      </c>
      <c r="S29" s="30" t="s">
        <v>18</v>
      </c>
      <c r="T29" s="30">
        <v>475961.63240361871</v>
      </c>
      <c r="U29" s="30">
        <v>549584.65429513087</v>
      </c>
      <c r="V29" s="30">
        <v>0.86603879617792956</v>
      </c>
      <c r="W29" s="30">
        <v>0.3881828538267047</v>
      </c>
      <c r="X29" s="30">
        <v>-612086.15059893113</v>
      </c>
      <c r="Y29" s="30">
        <v>1564009.4154061684</v>
      </c>
      <c r="Z29" s="30">
        <v>-612086.15059893113</v>
      </c>
      <c r="AA29" s="30">
        <v>1564009.4154061684</v>
      </c>
    </row>
    <row r="30" spans="1:27">
      <c r="A30" s="1">
        <v>5150000</v>
      </c>
      <c r="B30" s="2">
        <v>4800</v>
      </c>
      <c r="C30" s="2">
        <v>3</v>
      </c>
      <c r="D30" s="2">
        <v>2</v>
      </c>
      <c r="E30" s="2">
        <v>2</v>
      </c>
      <c r="F30" s="2">
        <v>1</v>
      </c>
      <c r="G30" s="2">
        <v>0</v>
      </c>
      <c r="H30" s="2">
        <v>1</v>
      </c>
      <c r="I30" s="2">
        <v>1</v>
      </c>
      <c r="J30" s="2">
        <v>2</v>
      </c>
      <c r="K30" s="2">
        <v>0</v>
      </c>
      <c r="L30" s="2">
        <v>0</v>
      </c>
      <c r="M30" s="2">
        <v>1</v>
      </c>
      <c r="N30" s="2">
        <f t="shared" ca="1" si="0"/>
        <v>0.34919532389630548</v>
      </c>
      <c r="O30" s="2">
        <v>0.79437806539446232</v>
      </c>
      <c r="P30" s="3" t="str">
        <f>IF(ROWS($A$2:A30)&lt;=ROUND(COUNTA($A:$A)*80%,0),"Training","Testing")</f>
        <v>Training</v>
      </c>
    </row>
    <row r="31" spans="1:27">
      <c r="A31" s="4">
        <v>7900000</v>
      </c>
      <c r="B31" s="5">
        <v>7300</v>
      </c>
      <c r="C31" s="5">
        <v>5</v>
      </c>
      <c r="D31" s="5">
        <v>4</v>
      </c>
      <c r="E31" s="5">
        <v>3</v>
      </c>
      <c r="F31" s="5">
        <v>1</v>
      </c>
      <c r="G31" s="5">
        <v>1</v>
      </c>
      <c r="H31" s="5">
        <v>1</v>
      </c>
      <c r="I31" s="5">
        <v>1</v>
      </c>
      <c r="J31" s="5">
        <v>3</v>
      </c>
      <c r="K31" s="5">
        <v>1</v>
      </c>
      <c r="L31" s="5">
        <v>1</v>
      </c>
      <c r="M31" s="5">
        <v>0</v>
      </c>
      <c r="N31" s="5">
        <f t="shared" ca="1" si="0"/>
        <v>0.94350815209309857</v>
      </c>
      <c r="O31" s="5">
        <v>0.60967552414342063</v>
      </c>
      <c r="P31" s="6" t="str">
        <f>IF(ROWS($A$2:A31)&lt;=ROUND(COUNTA($A:$A)*80%,0),"Training","Testing")</f>
        <v>Training</v>
      </c>
    </row>
    <row r="32" spans="1:27">
      <c r="A32" s="1">
        <v>13300000</v>
      </c>
      <c r="B32" s="2">
        <v>7420</v>
      </c>
      <c r="C32" s="2">
        <v>4</v>
      </c>
      <c r="D32" s="2">
        <v>2</v>
      </c>
      <c r="E32" s="2">
        <v>3</v>
      </c>
      <c r="F32" s="2">
        <v>1</v>
      </c>
      <c r="G32" s="2">
        <v>0</v>
      </c>
      <c r="H32" s="2">
        <v>0</v>
      </c>
      <c r="I32" s="2">
        <v>1</v>
      </c>
      <c r="J32" s="2">
        <v>2</v>
      </c>
      <c r="K32" s="2">
        <v>1</v>
      </c>
      <c r="L32" s="2">
        <v>1</v>
      </c>
      <c r="M32" s="2">
        <v>0</v>
      </c>
      <c r="N32" s="2">
        <f t="shared" ca="1" si="0"/>
        <v>0.52001547321751973</v>
      </c>
      <c r="O32" s="2">
        <v>0.29925624433572101</v>
      </c>
      <c r="P32" s="3" t="str">
        <f>IF(ROWS($A$2:A32)&lt;=ROUND(COUNTA($A:$A)*80%,0),"Training","Testing")</f>
        <v>Training</v>
      </c>
    </row>
    <row r="33" spans="1:16">
      <c r="A33" s="4">
        <v>4850000</v>
      </c>
      <c r="B33" s="5">
        <v>4450</v>
      </c>
      <c r="C33" s="5">
        <v>3</v>
      </c>
      <c r="D33" s="5">
        <v>2</v>
      </c>
      <c r="E33" s="5">
        <v>2</v>
      </c>
      <c r="F33" s="5">
        <v>1</v>
      </c>
      <c r="G33" s="5">
        <v>0</v>
      </c>
      <c r="H33" s="5">
        <v>1</v>
      </c>
      <c r="I33" s="5">
        <v>1</v>
      </c>
      <c r="J33" s="5">
        <v>2</v>
      </c>
      <c r="K33" s="5">
        <v>0</v>
      </c>
      <c r="L33" s="5">
        <v>0</v>
      </c>
      <c r="M33" s="5">
        <v>1</v>
      </c>
      <c r="N33" s="5">
        <f t="shared" ca="1" si="0"/>
        <v>0.89861977857551667</v>
      </c>
      <c r="O33" s="5">
        <v>0.75820993314716489</v>
      </c>
      <c r="P33" s="6" t="str">
        <f>IF(ROWS($A$2:A33)&lt;=ROUND(COUNTA($A:$A)*80%,0),"Training","Testing")</f>
        <v>Training</v>
      </c>
    </row>
    <row r="34" spans="1:16">
      <c r="A34" s="1">
        <v>4550000</v>
      </c>
      <c r="B34" s="2">
        <v>4200</v>
      </c>
      <c r="C34" s="2">
        <v>3</v>
      </c>
      <c r="D34" s="2">
        <v>2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f t="shared" ref="N34:N65" ca="1" si="1">RAND()</f>
        <v>9.0731985303562634E-3</v>
      </c>
      <c r="O34" s="2">
        <v>0.94380342929760053</v>
      </c>
      <c r="P34" s="3" t="str">
        <f>IF(ROWS($A$2:A34)&lt;=ROUND(COUNTA($A:$A)*80%,0),"Training","Testing")</f>
        <v>Training</v>
      </c>
    </row>
    <row r="35" spans="1:16">
      <c r="A35" s="4">
        <v>6850000</v>
      </c>
      <c r="B35" s="5">
        <v>6250</v>
      </c>
      <c r="C35" s="5">
        <v>4</v>
      </c>
      <c r="D35" s="5">
        <v>3</v>
      </c>
      <c r="E35" s="5">
        <v>2</v>
      </c>
      <c r="F35" s="5">
        <v>1</v>
      </c>
      <c r="G35" s="5">
        <v>1</v>
      </c>
      <c r="H35" s="5">
        <v>0</v>
      </c>
      <c r="I35" s="5">
        <v>1</v>
      </c>
      <c r="J35" s="5">
        <v>2</v>
      </c>
      <c r="K35" s="5">
        <v>1</v>
      </c>
      <c r="L35" s="5">
        <v>1</v>
      </c>
      <c r="M35" s="5">
        <v>0</v>
      </c>
      <c r="N35" s="5">
        <f t="shared" ca="1" si="1"/>
        <v>0.66842307589559669</v>
      </c>
      <c r="O35" s="5">
        <v>0.25577815345597188</v>
      </c>
      <c r="P35" s="6" t="str">
        <f>IF(ROWS($A$2:A35)&lt;=ROUND(COUNTA($A:$A)*80%,0),"Training","Testing")</f>
        <v>Training</v>
      </c>
    </row>
    <row r="36" spans="1:16">
      <c r="A36" s="1">
        <v>11950000</v>
      </c>
      <c r="B36" s="2">
        <v>5400</v>
      </c>
      <c r="C36" s="2">
        <v>4</v>
      </c>
      <c r="D36" s="2">
        <v>3</v>
      </c>
      <c r="E36" s="2">
        <v>2</v>
      </c>
      <c r="F36" s="2">
        <v>1</v>
      </c>
      <c r="G36" s="2">
        <v>1</v>
      </c>
      <c r="H36" s="2">
        <v>0</v>
      </c>
      <c r="I36" s="2">
        <v>1</v>
      </c>
      <c r="J36" s="2">
        <v>2</v>
      </c>
      <c r="K36" s="2">
        <v>1</v>
      </c>
      <c r="L36" s="2">
        <v>1</v>
      </c>
      <c r="M36" s="2">
        <v>0</v>
      </c>
      <c r="N36" s="2">
        <f t="shared" ca="1" si="1"/>
        <v>1.6398615880283907E-2</v>
      </c>
      <c r="O36" s="2">
        <v>0.29053725422361498</v>
      </c>
      <c r="P36" s="3" t="str">
        <f>IF(ROWS($A$2:A36)&lt;=ROUND(COUNTA($A:$A)*80%,0),"Training","Testing")</f>
        <v>Training</v>
      </c>
    </row>
    <row r="37" spans="1:16">
      <c r="A37" s="4">
        <v>6200000</v>
      </c>
      <c r="B37" s="5">
        <v>5850</v>
      </c>
      <c r="C37" s="5">
        <v>4</v>
      </c>
      <c r="D37" s="5">
        <v>3</v>
      </c>
      <c r="E37" s="5">
        <v>2</v>
      </c>
      <c r="F37" s="5">
        <v>1</v>
      </c>
      <c r="G37" s="5">
        <v>1</v>
      </c>
      <c r="H37" s="5">
        <v>0</v>
      </c>
      <c r="I37" s="5">
        <v>1</v>
      </c>
      <c r="J37" s="5">
        <v>2</v>
      </c>
      <c r="K37" s="5">
        <v>1</v>
      </c>
      <c r="L37" s="5">
        <v>1</v>
      </c>
      <c r="M37" s="5">
        <v>0</v>
      </c>
      <c r="N37" s="5">
        <f t="shared" ca="1" si="1"/>
        <v>0.59406635627019189</v>
      </c>
      <c r="O37" s="5">
        <v>0.34591715422311042</v>
      </c>
      <c r="P37" s="6" t="str">
        <f>IF(ROWS($A$2:A37)&lt;=ROUND(COUNTA($A:$A)*80%,0),"Training","Testing")</f>
        <v>Training</v>
      </c>
    </row>
    <row r="38" spans="1:16">
      <c r="A38" s="1">
        <v>5250000</v>
      </c>
      <c r="B38" s="2">
        <v>4950</v>
      </c>
      <c r="C38" s="2">
        <v>3</v>
      </c>
      <c r="D38" s="2">
        <v>2</v>
      </c>
      <c r="E38" s="2">
        <v>2</v>
      </c>
      <c r="F38" s="2">
        <v>1</v>
      </c>
      <c r="G38" s="2">
        <v>0</v>
      </c>
      <c r="H38" s="2">
        <v>0</v>
      </c>
      <c r="I38" s="2">
        <v>1</v>
      </c>
      <c r="J38" s="2">
        <v>2</v>
      </c>
      <c r="K38" s="2">
        <v>0</v>
      </c>
      <c r="L38" s="2">
        <v>0</v>
      </c>
      <c r="M38" s="2">
        <v>1</v>
      </c>
      <c r="N38" s="2">
        <f t="shared" ca="1" si="1"/>
        <v>0.21312446965850695</v>
      </c>
      <c r="O38" s="2">
        <v>0.94585143484856959</v>
      </c>
      <c r="P38" s="3" t="str">
        <f>IF(ROWS($A$2:A38)&lt;=ROUND(COUNTA($A:$A)*80%,0),"Training","Testing")</f>
        <v>Training</v>
      </c>
    </row>
    <row r="39" spans="1:16">
      <c r="A39" s="4">
        <v>4950000</v>
      </c>
      <c r="B39" s="5">
        <v>4550</v>
      </c>
      <c r="C39" s="5">
        <v>3</v>
      </c>
      <c r="D39" s="5">
        <v>2</v>
      </c>
      <c r="E39" s="5">
        <v>2</v>
      </c>
      <c r="F39" s="5">
        <v>1</v>
      </c>
      <c r="G39" s="5">
        <v>0</v>
      </c>
      <c r="H39" s="5">
        <v>0</v>
      </c>
      <c r="I39" s="5">
        <v>1</v>
      </c>
      <c r="J39" s="5">
        <v>2</v>
      </c>
      <c r="K39" s="5">
        <v>0</v>
      </c>
      <c r="L39" s="5">
        <v>0</v>
      </c>
      <c r="M39" s="5">
        <v>1</v>
      </c>
      <c r="N39" s="5">
        <f t="shared" ca="1" si="1"/>
        <v>0.54958768729662943</v>
      </c>
      <c r="O39" s="5">
        <v>0.52446702309097049</v>
      </c>
      <c r="P39" s="6" t="str">
        <f>IF(ROWS($A$2:A39)&lt;=ROUND(COUNTA($A:$A)*80%,0),"Training","Testing")</f>
        <v>Training</v>
      </c>
    </row>
    <row r="40" spans="1:16">
      <c r="A40" s="1">
        <v>4050000</v>
      </c>
      <c r="B40" s="2">
        <v>3650</v>
      </c>
      <c r="C40" s="2">
        <v>3</v>
      </c>
      <c r="D40" s="2">
        <v>2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f t="shared" ca="1" si="1"/>
        <v>0.24652605631650082</v>
      </c>
      <c r="O40" s="2">
        <v>0.43172683430498093</v>
      </c>
      <c r="P40" s="3" t="str">
        <f>IF(ROWS($A$2:A40)&lt;=ROUND(COUNTA($A:$A)*80%,0),"Training","Testing")</f>
        <v>Training</v>
      </c>
    </row>
    <row r="41" spans="1:16">
      <c r="A41" s="4">
        <v>7350000</v>
      </c>
      <c r="B41" s="5">
        <v>6700</v>
      </c>
      <c r="C41" s="5">
        <v>5</v>
      </c>
      <c r="D41" s="5">
        <v>3</v>
      </c>
      <c r="E41" s="5">
        <v>3</v>
      </c>
      <c r="F41" s="5">
        <v>1</v>
      </c>
      <c r="G41" s="5">
        <v>1</v>
      </c>
      <c r="H41" s="5">
        <v>1</v>
      </c>
      <c r="I41" s="5">
        <v>1</v>
      </c>
      <c r="J41" s="5">
        <v>3</v>
      </c>
      <c r="K41" s="5">
        <v>1</v>
      </c>
      <c r="L41" s="5">
        <v>1</v>
      </c>
      <c r="M41" s="5">
        <v>0</v>
      </c>
      <c r="N41" s="5">
        <f t="shared" ca="1" si="1"/>
        <v>0.26593044800109944</v>
      </c>
      <c r="O41" s="5">
        <v>0.5079004367471559</v>
      </c>
      <c r="P41" s="6" t="str">
        <f>IF(ROWS($A$2:A41)&lt;=ROUND(COUNTA($A:$A)*80%,0),"Training","Testing")</f>
        <v>Training</v>
      </c>
    </row>
    <row r="42" spans="1:16">
      <c r="A42" s="1">
        <v>3500000</v>
      </c>
      <c r="B42" s="2">
        <v>3000</v>
      </c>
      <c r="C42" s="2">
        <v>2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f t="shared" ca="1" si="1"/>
        <v>0.6541364346850459</v>
      </c>
      <c r="O42" s="2">
        <v>8.4716270087705103E-2</v>
      </c>
      <c r="P42" s="3" t="str">
        <f>IF(ROWS($A$2:A42)&lt;=ROUND(COUNTA($A:$A)*80%,0),"Training","Testing")</f>
        <v>Training</v>
      </c>
    </row>
    <row r="43" spans="1:16">
      <c r="A43" s="4">
        <v>4200000</v>
      </c>
      <c r="B43" s="5">
        <v>3900</v>
      </c>
      <c r="C43" s="5">
        <v>3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f t="shared" ca="1" si="1"/>
        <v>0.58087963395261477</v>
      </c>
      <c r="O43" s="5">
        <v>0.10546453822239887</v>
      </c>
      <c r="P43" s="6" t="str">
        <f>IF(ROWS($A$2:A43)&lt;=ROUND(COUNTA($A:$A)*80%,0),"Training","Testing")</f>
        <v>Training</v>
      </c>
    </row>
    <row r="44" spans="1:16">
      <c r="A44" s="1">
        <v>3650000</v>
      </c>
      <c r="B44" s="2">
        <v>3150</v>
      </c>
      <c r="C44" s="2">
        <v>2</v>
      </c>
      <c r="D44" s="2">
        <v>1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f t="shared" ca="1" si="1"/>
        <v>0.3634005893312714</v>
      </c>
      <c r="O44" s="2">
        <v>0.50781517236031304</v>
      </c>
      <c r="P44" s="3" t="str">
        <f>IF(ROWS($A$2:A44)&lt;=ROUND(COUNTA($A:$A)*80%,0),"Training","Testing")</f>
        <v>Training</v>
      </c>
    </row>
    <row r="45" spans="1:16">
      <c r="A45" s="4">
        <v>4150000</v>
      </c>
      <c r="B45" s="5">
        <v>3800</v>
      </c>
      <c r="C45" s="5">
        <v>3</v>
      </c>
      <c r="D45" s="5">
        <v>2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f t="shared" ca="1" si="1"/>
        <v>6.8069295131852225E-2</v>
      </c>
      <c r="O45" s="5">
        <v>0.74364437615530044</v>
      </c>
      <c r="P45" s="6" t="str">
        <f>IF(ROWS($A$2:A45)&lt;=ROUND(COUNTA($A:$A)*80%,0),"Training","Testing")</f>
        <v>Training</v>
      </c>
    </row>
    <row r="46" spans="1:16">
      <c r="A46" s="1">
        <v>5100000</v>
      </c>
      <c r="B46" s="2">
        <v>4750</v>
      </c>
      <c r="C46" s="2">
        <v>3</v>
      </c>
      <c r="D46" s="2">
        <v>2</v>
      </c>
      <c r="E46" s="2">
        <v>2</v>
      </c>
      <c r="F46" s="2">
        <v>1</v>
      </c>
      <c r="G46" s="2">
        <v>0</v>
      </c>
      <c r="H46" s="2">
        <v>1</v>
      </c>
      <c r="I46" s="2">
        <v>1</v>
      </c>
      <c r="J46" s="2">
        <v>2</v>
      </c>
      <c r="K46" s="2">
        <v>0</v>
      </c>
      <c r="L46" s="2">
        <v>0</v>
      </c>
      <c r="M46" s="2">
        <v>1</v>
      </c>
      <c r="N46" s="2">
        <f t="shared" ca="1" si="1"/>
        <v>0.4505814039486371</v>
      </c>
      <c r="O46" s="2">
        <v>0.48907347248129296</v>
      </c>
      <c r="P46" s="3" t="str">
        <f>IF(ROWS($A$2:A46)&lt;=ROUND(COUNTA($A:$A)*80%,0),"Training","Testing")</f>
        <v>Training</v>
      </c>
    </row>
    <row r="47" spans="1:16">
      <c r="A47" s="4">
        <v>6850000</v>
      </c>
      <c r="B47" s="5">
        <v>6000</v>
      </c>
      <c r="C47" s="5">
        <v>4</v>
      </c>
      <c r="D47" s="5">
        <v>2</v>
      </c>
      <c r="E47" s="5">
        <v>2</v>
      </c>
      <c r="F47" s="5">
        <v>1</v>
      </c>
      <c r="G47" s="5">
        <v>1</v>
      </c>
      <c r="H47" s="5">
        <v>0</v>
      </c>
      <c r="I47" s="5">
        <v>1</v>
      </c>
      <c r="J47" s="5">
        <v>2</v>
      </c>
      <c r="K47" s="5">
        <v>1</v>
      </c>
      <c r="L47" s="5">
        <v>1</v>
      </c>
      <c r="M47" s="5">
        <v>0</v>
      </c>
      <c r="N47" s="5">
        <f t="shared" ca="1" si="1"/>
        <v>0.5828739628885522</v>
      </c>
      <c r="O47" s="5">
        <v>0.54551555971831556</v>
      </c>
      <c r="P47" s="6" t="str">
        <f>IF(ROWS($A$2:A47)&lt;=ROUND(COUNTA($A:$A)*80%,0),"Training","Testing")</f>
        <v>Training</v>
      </c>
    </row>
    <row r="48" spans="1:16">
      <c r="A48" s="1">
        <v>3650000</v>
      </c>
      <c r="B48" s="2">
        <v>3100</v>
      </c>
      <c r="C48" s="2">
        <v>2</v>
      </c>
      <c r="D48" s="2">
        <v>1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f t="shared" ca="1" si="1"/>
        <v>5.2269357089322122E-2</v>
      </c>
      <c r="O48" s="2">
        <v>6.8126244418359794E-2</v>
      </c>
      <c r="P48" s="3" t="str">
        <f>IF(ROWS($A$2:A48)&lt;=ROUND(COUNTA($A:$A)*80%,0),"Training","Testing")</f>
        <v>Training</v>
      </c>
    </row>
    <row r="49" spans="1:16">
      <c r="A49" s="4">
        <v>13100000</v>
      </c>
      <c r="B49" s="5">
        <v>6200</v>
      </c>
      <c r="C49" s="5">
        <v>4</v>
      </c>
      <c r="D49" s="5">
        <v>3</v>
      </c>
      <c r="E49" s="5">
        <v>3</v>
      </c>
      <c r="F49" s="5">
        <v>1</v>
      </c>
      <c r="G49" s="5">
        <v>1</v>
      </c>
      <c r="H49" s="5">
        <v>1</v>
      </c>
      <c r="I49" s="5">
        <v>1</v>
      </c>
      <c r="J49" s="5">
        <v>2</v>
      </c>
      <c r="K49" s="5">
        <v>1</v>
      </c>
      <c r="L49" s="5">
        <v>1</v>
      </c>
      <c r="M49" s="5">
        <v>0</v>
      </c>
      <c r="N49" s="5">
        <f t="shared" ca="1" si="1"/>
        <v>0.6558051547075574</v>
      </c>
      <c r="O49" s="5">
        <v>0.76628090529726023</v>
      </c>
      <c r="P49" s="6" t="str">
        <f>IF(ROWS($A$2:A49)&lt;=ROUND(COUNTA($A:$A)*80%,0),"Training","Testing")</f>
        <v>Training</v>
      </c>
    </row>
    <row r="50" spans="1:16">
      <c r="A50" s="1">
        <v>3350000</v>
      </c>
      <c r="B50" s="2">
        <v>3000</v>
      </c>
      <c r="C50" s="2">
        <v>2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f t="shared" ca="1" si="1"/>
        <v>0.91561916146954037</v>
      </c>
      <c r="O50" s="2">
        <v>0.20336114493626256</v>
      </c>
      <c r="P50" s="3" t="str">
        <f>IF(ROWS($A$2:A50)&lt;=ROUND(COUNTA($A:$A)*80%,0),"Training","Testing")</f>
        <v>Training</v>
      </c>
    </row>
    <row r="51" spans="1:16">
      <c r="A51" s="4">
        <v>8650000</v>
      </c>
      <c r="B51" s="5">
        <v>8000</v>
      </c>
      <c r="C51" s="5">
        <v>5</v>
      </c>
      <c r="D51" s="5">
        <v>4</v>
      </c>
      <c r="E51" s="5">
        <v>3</v>
      </c>
      <c r="F51" s="5">
        <v>1</v>
      </c>
      <c r="G51" s="5">
        <v>1</v>
      </c>
      <c r="H51" s="5">
        <v>1</v>
      </c>
      <c r="I51" s="5">
        <v>1</v>
      </c>
      <c r="J51" s="5">
        <v>3</v>
      </c>
      <c r="K51" s="5">
        <v>1</v>
      </c>
      <c r="L51" s="5">
        <v>1</v>
      </c>
      <c r="M51" s="5">
        <v>0</v>
      </c>
      <c r="N51" s="5">
        <f t="shared" ca="1" si="1"/>
        <v>0.78475900450932301</v>
      </c>
      <c r="O51" s="5">
        <v>0.17702169806136681</v>
      </c>
      <c r="P51" s="6" t="str">
        <f>IF(ROWS($A$2:A51)&lt;=ROUND(COUNTA($A:$A)*80%,0),"Training","Testing")</f>
        <v>Training</v>
      </c>
    </row>
    <row r="52" spans="1:16">
      <c r="A52" s="1">
        <v>4500000</v>
      </c>
      <c r="B52" s="2">
        <v>2850</v>
      </c>
      <c r="C52" s="2">
        <v>2</v>
      </c>
      <c r="D52" s="2">
        <v>1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f t="shared" ca="1" si="1"/>
        <v>0.55239658492781274</v>
      </c>
      <c r="O52" s="2">
        <v>0.82950913421717043</v>
      </c>
      <c r="P52" s="3" t="str">
        <f>IF(ROWS($A$2:A52)&lt;=ROUND(COUNTA($A:$A)*80%,0),"Training","Testing")</f>
        <v>Training</v>
      </c>
    </row>
    <row r="53" spans="1:16">
      <c r="A53" s="4">
        <v>6500000</v>
      </c>
      <c r="B53" s="5">
        <v>3950</v>
      </c>
      <c r="C53" s="5">
        <v>2</v>
      </c>
      <c r="D53" s="5">
        <v>1</v>
      </c>
      <c r="E53" s="5">
        <v>1</v>
      </c>
      <c r="F53" s="5">
        <v>1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f t="shared" ca="1" si="1"/>
        <v>0.90713377165705922</v>
      </c>
      <c r="O53" s="5">
        <v>0.24745050281061276</v>
      </c>
      <c r="P53" s="6" t="str">
        <f>IF(ROWS($A$2:A53)&lt;=ROUND(COUNTA($A:$A)*80%,0),"Training","Testing")</f>
        <v>Training</v>
      </c>
    </row>
    <row r="54" spans="1:16">
      <c r="A54" s="1">
        <v>5750000</v>
      </c>
      <c r="B54" s="2">
        <v>5400</v>
      </c>
      <c r="C54" s="2">
        <v>4</v>
      </c>
      <c r="D54" s="2">
        <v>2</v>
      </c>
      <c r="E54" s="2">
        <v>2</v>
      </c>
      <c r="F54" s="2">
        <v>1</v>
      </c>
      <c r="G54" s="2">
        <v>1</v>
      </c>
      <c r="H54" s="2">
        <v>0</v>
      </c>
      <c r="I54" s="2">
        <v>1</v>
      </c>
      <c r="J54" s="2">
        <v>2</v>
      </c>
      <c r="K54" s="2">
        <v>1</v>
      </c>
      <c r="L54" s="2">
        <v>1</v>
      </c>
      <c r="M54" s="2">
        <v>0</v>
      </c>
      <c r="N54" s="2">
        <f t="shared" ca="1" si="1"/>
        <v>0.51307316636086642</v>
      </c>
      <c r="O54" s="2">
        <v>0.52620516012967655</v>
      </c>
      <c r="P54" s="3" t="str">
        <f>IF(ROWS($A$2:A54)&lt;=ROUND(COUNTA($A:$A)*80%,0),"Training","Testing")</f>
        <v>Training</v>
      </c>
    </row>
    <row r="55" spans="1:16">
      <c r="A55" s="4">
        <v>5500000</v>
      </c>
      <c r="B55" s="5">
        <v>5150</v>
      </c>
      <c r="C55" s="5">
        <v>3</v>
      </c>
      <c r="D55" s="5">
        <v>2</v>
      </c>
      <c r="E55" s="5">
        <v>2</v>
      </c>
      <c r="F55" s="5">
        <v>1</v>
      </c>
      <c r="G55" s="5">
        <v>0</v>
      </c>
      <c r="H55" s="5">
        <v>1</v>
      </c>
      <c r="I55" s="5">
        <v>1</v>
      </c>
      <c r="J55" s="5">
        <v>2</v>
      </c>
      <c r="K55" s="5">
        <v>0</v>
      </c>
      <c r="L55" s="5">
        <v>0</v>
      </c>
      <c r="M55" s="5">
        <v>1</v>
      </c>
      <c r="N55" s="5">
        <f t="shared" ca="1" si="1"/>
        <v>0.97712391314752323</v>
      </c>
      <c r="O55" s="5">
        <v>0.80346505655565392</v>
      </c>
      <c r="P55" s="6" t="str">
        <f>IF(ROWS($A$2:A55)&lt;=ROUND(COUNTA($A:$A)*80%,0),"Training","Testing")</f>
        <v>Training</v>
      </c>
    </row>
    <row r="56" spans="1:16">
      <c r="A56" s="1">
        <v>6100000</v>
      </c>
      <c r="B56" s="2">
        <v>5800</v>
      </c>
      <c r="C56" s="2">
        <v>4</v>
      </c>
      <c r="D56" s="2">
        <v>3</v>
      </c>
      <c r="E56" s="2">
        <v>2</v>
      </c>
      <c r="F56" s="2">
        <v>1</v>
      </c>
      <c r="G56" s="2">
        <v>1</v>
      </c>
      <c r="H56" s="2">
        <v>0</v>
      </c>
      <c r="I56" s="2">
        <v>1</v>
      </c>
      <c r="J56" s="2">
        <v>2</v>
      </c>
      <c r="K56" s="2">
        <v>1</v>
      </c>
      <c r="L56" s="2">
        <v>1</v>
      </c>
      <c r="M56" s="2">
        <v>0</v>
      </c>
      <c r="N56" s="2">
        <f t="shared" ca="1" si="1"/>
        <v>0.11621372725949619</v>
      </c>
      <c r="O56" s="2">
        <v>0.53041826530233782</v>
      </c>
      <c r="P56" s="3" t="str">
        <f>IF(ROWS($A$2:A56)&lt;=ROUND(COUNTA($A:$A)*80%,0),"Training","Testing")</f>
        <v>Training</v>
      </c>
    </row>
    <row r="57" spans="1:16">
      <c r="A57" s="4">
        <v>8150000</v>
      </c>
      <c r="B57" s="5">
        <v>7450</v>
      </c>
      <c r="C57" s="5">
        <v>5</v>
      </c>
      <c r="D57" s="5">
        <v>4</v>
      </c>
      <c r="E57" s="5">
        <v>3</v>
      </c>
      <c r="F57" s="5">
        <v>1</v>
      </c>
      <c r="G57" s="5">
        <v>1</v>
      </c>
      <c r="H57" s="5">
        <v>1</v>
      </c>
      <c r="I57" s="5">
        <v>1</v>
      </c>
      <c r="J57" s="5">
        <v>3</v>
      </c>
      <c r="K57" s="5">
        <v>1</v>
      </c>
      <c r="L57" s="5">
        <v>1</v>
      </c>
      <c r="M57" s="5">
        <v>0</v>
      </c>
      <c r="N57" s="5">
        <f t="shared" ca="1" si="1"/>
        <v>0.18498043774867723</v>
      </c>
      <c r="O57" s="5">
        <v>1.3287803959816102E-5</v>
      </c>
      <c r="P57" s="6" t="str">
        <f>IF(ROWS($A$2:A57)&lt;=ROUND(COUNTA($A:$A)*80%,0),"Training","Testing")</f>
        <v>Training</v>
      </c>
    </row>
    <row r="58" spans="1:16">
      <c r="A58" s="1">
        <v>6950000</v>
      </c>
      <c r="B58" s="2">
        <v>6100</v>
      </c>
      <c r="C58" s="2">
        <v>4</v>
      </c>
      <c r="D58" s="2">
        <v>3</v>
      </c>
      <c r="E58" s="2">
        <v>2</v>
      </c>
      <c r="F58" s="2">
        <v>1</v>
      </c>
      <c r="G58" s="2">
        <v>1</v>
      </c>
      <c r="H58" s="2">
        <v>0</v>
      </c>
      <c r="I58" s="2">
        <v>1</v>
      </c>
      <c r="J58" s="2">
        <v>2</v>
      </c>
      <c r="K58" s="2">
        <v>1</v>
      </c>
      <c r="L58" s="2">
        <v>1</v>
      </c>
      <c r="M58" s="2">
        <v>0</v>
      </c>
      <c r="N58" s="2">
        <f t="shared" ca="1" si="1"/>
        <v>0.61453297194483114</v>
      </c>
      <c r="O58" s="2">
        <v>0.83022493975853051</v>
      </c>
      <c r="P58" s="3" t="str">
        <f>IF(ROWS($A$2:A58)&lt;=ROUND(COUNTA($A:$A)*80%,0),"Training","Testing")</f>
        <v>Training</v>
      </c>
    </row>
    <row r="59" spans="1:16">
      <c r="A59" s="4">
        <v>4350000</v>
      </c>
      <c r="B59" s="5">
        <v>4050</v>
      </c>
      <c r="C59" s="5">
        <v>3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f t="shared" ca="1" si="1"/>
        <v>0.35314148172482129</v>
      </c>
      <c r="O59" s="5">
        <v>0.6578316206589816</v>
      </c>
      <c r="P59" s="6" t="str">
        <f>IF(ROWS($A$2:A59)&lt;=ROUND(COUNTA($A:$A)*80%,0),"Training","Testing")</f>
        <v>Training</v>
      </c>
    </row>
    <row r="60" spans="1:16">
      <c r="A60" s="1">
        <v>5350000</v>
      </c>
      <c r="B60" s="2">
        <v>5000</v>
      </c>
      <c r="C60" s="2">
        <v>3</v>
      </c>
      <c r="D60" s="2">
        <v>2</v>
      </c>
      <c r="E60" s="2">
        <v>2</v>
      </c>
      <c r="F60" s="2">
        <v>1</v>
      </c>
      <c r="G60" s="2">
        <v>0</v>
      </c>
      <c r="H60" s="2">
        <v>0</v>
      </c>
      <c r="I60" s="2">
        <v>1</v>
      </c>
      <c r="J60" s="2">
        <v>2</v>
      </c>
      <c r="K60" s="2">
        <v>0</v>
      </c>
      <c r="L60" s="2">
        <v>0</v>
      </c>
      <c r="M60" s="2">
        <v>1</v>
      </c>
      <c r="N60" s="2">
        <f t="shared" ca="1" si="1"/>
        <v>0.11879204132443888</v>
      </c>
      <c r="O60" s="2">
        <v>0.22086214031658136</v>
      </c>
      <c r="P60" s="3" t="str">
        <f>IF(ROWS($A$2:A60)&lt;=ROUND(COUNTA($A:$A)*80%,0),"Training","Testing")</f>
        <v>Training</v>
      </c>
    </row>
    <row r="61" spans="1:16">
      <c r="A61" s="4">
        <v>5450000</v>
      </c>
      <c r="B61" s="5">
        <v>5100</v>
      </c>
      <c r="C61" s="5">
        <v>3</v>
      </c>
      <c r="D61" s="5">
        <v>2</v>
      </c>
      <c r="E61" s="5">
        <v>2</v>
      </c>
      <c r="F61" s="5">
        <v>1</v>
      </c>
      <c r="G61" s="5">
        <v>1</v>
      </c>
      <c r="H61" s="5">
        <v>0</v>
      </c>
      <c r="I61" s="5">
        <v>1</v>
      </c>
      <c r="J61" s="5">
        <v>2</v>
      </c>
      <c r="K61" s="5">
        <v>1</v>
      </c>
      <c r="L61" s="5">
        <v>1</v>
      </c>
      <c r="M61" s="5">
        <v>0</v>
      </c>
      <c r="N61" s="5">
        <f t="shared" ca="1" si="1"/>
        <v>0.93864678773011201</v>
      </c>
      <c r="O61" s="5">
        <v>0.62863934421235279</v>
      </c>
      <c r="P61" s="6" t="str">
        <f>IF(ROWS($A$2:A61)&lt;=ROUND(COUNTA($A:$A)*80%,0),"Training","Testing")</f>
        <v>Training</v>
      </c>
    </row>
    <row r="62" spans="1:16">
      <c r="A62" s="1">
        <v>4300000</v>
      </c>
      <c r="B62" s="2">
        <v>3950</v>
      </c>
      <c r="C62" s="2">
        <v>3</v>
      </c>
      <c r="D62" s="2">
        <v>2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2</v>
      </c>
      <c r="K62" s="2">
        <v>0</v>
      </c>
      <c r="L62" s="2">
        <v>0</v>
      </c>
      <c r="M62" s="2">
        <v>0</v>
      </c>
      <c r="N62" s="2">
        <f t="shared" ca="1" si="1"/>
        <v>0.17060845649130107</v>
      </c>
      <c r="O62" s="2">
        <v>9.3551182116238474E-2</v>
      </c>
      <c r="P62" s="3" t="str">
        <f>IF(ROWS($A$2:A62)&lt;=ROUND(COUNTA($A:$A)*80%,0),"Training","Testing")</f>
        <v>Training</v>
      </c>
    </row>
    <row r="63" spans="1:16">
      <c r="A63" s="4">
        <v>6400000</v>
      </c>
      <c r="B63" s="5">
        <v>5700</v>
      </c>
      <c r="C63" s="5">
        <v>4</v>
      </c>
      <c r="D63" s="5">
        <v>2</v>
      </c>
      <c r="E63" s="5">
        <v>2</v>
      </c>
      <c r="F63" s="5">
        <v>1</v>
      </c>
      <c r="G63" s="5">
        <v>1</v>
      </c>
      <c r="H63" s="5">
        <v>0</v>
      </c>
      <c r="I63" s="5">
        <v>1</v>
      </c>
      <c r="J63" s="5">
        <v>2</v>
      </c>
      <c r="K63" s="5">
        <v>1</v>
      </c>
      <c r="L63" s="5">
        <v>1</v>
      </c>
      <c r="M63" s="5">
        <v>0</v>
      </c>
      <c r="N63" s="5">
        <f t="shared" ca="1" si="1"/>
        <v>0.54703255813888274</v>
      </c>
      <c r="O63" s="5">
        <v>0.31290206047186919</v>
      </c>
      <c r="P63" s="6" t="str">
        <f>IF(ROWS($A$2:A63)&lt;=ROUND(COUNTA($A:$A)*80%,0),"Training","Testing")</f>
        <v>Training</v>
      </c>
    </row>
    <row r="64" spans="1:16">
      <c r="A64" s="1">
        <v>6150000</v>
      </c>
      <c r="B64" s="2">
        <v>5750</v>
      </c>
      <c r="C64" s="2">
        <v>4</v>
      </c>
      <c r="D64" s="2">
        <v>3</v>
      </c>
      <c r="E64" s="2">
        <v>2</v>
      </c>
      <c r="F64" s="2">
        <v>1</v>
      </c>
      <c r="G64" s="2">
        <v>1</v>
      </c>
      <c r="H64" s="2">
        <v>0</v>
      </c>
      <c r="I64" s="2">
        <v>1</v>
      </c>
      <c r="J64" s="2">
        <v>2</v>
      </c>
      <c r="K64" s="2">
        <v>1</v>
      </c>
      <c r="L64" s="2">
        <v>1</v>
      </c>
      <c r="M64" s="2">
        <v>0</v>
      </c>
      <c r="N64" s="2">
        <f t="shared" ca="1" si="1"/>
        <v>0.29393079280961909</v>
      </c>
      <c r="O64" s="2">
        <v>0.98323276519208913</v>
      </c>
      <c r="P64" s="3" t="str">
        <f>IF(ROWS($A$2:A64)&lt;=ROUND(COUNTA($A:$A)*80%,0),"Training","Testing")</f>
        <v>Training</v>
      </c>
    </row>
    <row r="65" spans="1:16">
      <c r="A65" s="4">
        <v>3600000</v>
      </c>
      <c r="B65" s="5">
        <v>3100</v>
      </c>
      <c r="C65" s="5">
        <v>2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f t="shared" ca="1" si="1"/>
        <v>0.39284674109424433</v>
      </c>
      <c r="O65" s="5">
        <v>2.7457247418293251E-2</v>
      </c>
      <c r="P65" s="6" t="str">
        <f>IF(ROWS($A$2:A65)&lt;=ROUND(COUNTA($A:$A)*80%,0),"Training","Testing")</f>
        <v>Training</v>
      </c>
    </row>
    <row r="66" spans="1:16">
      <c r="A66" s="1">
        <v>4050000</v>
      </c>
      <c r="B66" s="2">
        <v>3700</v>
      </c>
      <c r="C66" s="2">
        <v>3</v>
      </c>
      <c r="D66" s="2">
        <v>2</v>
      </c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f t="shared" ref="N66:N97" ca="1" si="2">RAND()</f>
        <v>0.16833228799854238</v>
      </c>
      <c r="O66" s="2">
        <v>0.29747690608320498</v>
      </c>
      <c r="P66" s="3" t="str">
        <f>IF(ROWS($A$2:A66)&lt;=ROUND(COUNTA($A:$A)*80%,0),"Training","Testing")</f>
        <v>Training</v>
      </c>
    </row>
    <row r="67" spans="1:16">
      <c r="A67" s="4">
        <v>6100000</v>
      </c>
      <c r="B67" s="5">
        <v>3700</v>
      </c>
      <c r="C67" s="5">
        <v>2</v>
      </c>
      <c r="D67" s="5">
        <v>1</v>
      </c>
      <c r="E67" s="5">
        <v>1</v>
      </c>
      <c r="F67" s="5">
        <v>1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f t="shared" ca="1" si="2"/>
        <v>0.56182878104331779</v>
      </c>
      <c r="O67" s="5">
        <v>0.74249781055892572</v>
      </c>
      <c r="P67" s="6" t="str">
        <f>IF(ROWS($A$2:A67)&lt;=ROUND(COUNTA($A:$A)*80%,0),"Training","Testing")</f>
        <v>Training</v>
      </c>
    </row>
    <row r="68" spans="1:16">
      <c r="A68" s="1">
        <v>5450000</v>
      </c>
      <c r="B68" s="2">
        <v>5100</v>
      </c>
      <c r="C68" s="2">
        <v>3</v>
      </c>
      <c r="D68" s="2">
        <v>2</v>
      </c>
      <c r="E68" s="2">
        <v>2</v>
      </c>
      <c r="F68" s="2">
        <v>1</v>
      </c>
      <c r="G68" s="2">
        <v>0</v>
      </c>
      <c r="H68" s="2">
        <v>0</v>
      </c>
      <c r="I68" s="2">
        <v>1</v>
      </c>
      <c r="J68" s="2">
        <v>2</v>
      </c>
      <c r="K68" s="2">
        <v>0</v>
      </c>
      <c r="L68" s="2">
        <v>0</v>
      </c>
      <c r="M68" s="2">
        <v>1</v>
      </c>
      <c r="N68" s="2">
        <f t="shared" ca="1" si="2"/>
        <v>0.47867398764512625</v>
      </c>
      <c r="O68" s="2">
        <v>6.1421578565005297E-2</v>
      </c>
      <c r="P68" s="3" t="str">
        <f>IF(ROWS($A$2:A68)&lt;=ROUND(COUNTA($A:$A)*80%,0),"Training","Testing")</f>
        <v>Training</v>
      </c>
    </row>
    <row r="69" spans="1:16">
      <c r="A69" s="4">
        <v>5750000</v>
      </c>
      <c r="B69" s="5">
        <v>5400</v>
      </c>
      <c r="C69" s="5">
        <v>4</v>
      </c>
      <c r="D69" s="5">
        <v>2</v>
      </c>
      <c r="E69" s="5">
        <v>2</v>
      </c>
      <c r="F69" s="5">
        <v>1</v>
      </c>
      <c r="G69" s="5">
        <v>0</v>
      </c>
      <c r="H69" s="5">
        <v>1</v>
      </c>
      <c r="I69" s="5">
        <v>1</v>
      </c>
      <c r="J69" s="5">
        <v>2</v>
      </c>
      <c r="K69" s="5">
        <v>0</v>
      </c>
      <c r="L69" s="5">
        <v>0</v>
      </c>
      <c r="M69" s="5">
        <v>1</v>
      </c>
      <c r="N69" s="5">
        <f t="shared" ca="1" si="2"/>
        <v>0.94326267092474891</v>
      </c>
      <c r="O69" s="5">
        <v>0.32448128457758074</v>
      </c>
      <c r="P69" s="6" t="str">
        <f>IF(ROWS($A$2:A69)&lt;=ROUND(COUNTA($A:$A)*80%,0),"Training","Testing")</f>
        <v>Training</v>
      </c>
    </row>
    <row r="70" spans="1:16">
      <c r="A70" s="1">
        <v>6400000</v>
      </c>
      <c r="B70" s="2">
        <v>6000</v>
      </c>
      <c r="C70" s="2">
        <v>4</v>
      </c>
      <c r="D70" s="2">
        <v>3</v>
      </c>
      <c r="E70" s="2">
        <v>2</v>
      </c>
      <c r="F70" s="2">
        <v>1</v>
      </c>
      <c r="G70" s="2">
        <v>1</v>
      </c>
      <c r="H70" s="2">
        <v>0</v>
      </c>
      <c r="I70" s="2">
        <v>1</v>
      </c>
      <c r="J70" s="2">
        <v>2</v>
      </c>
      <c r="K70" s="2">
        <v>1</v>
      </c>
      <c r="L70" s="2">
        <v>1</v>
      </c>
      <c r="M70" s="2">
        <v>0</v>
      </c>
      <c r="N70" s="2">
        <f t="shared" ca="1" si="2"/>
        <v>0.87586071447011327</v>
      </c>
      <c r="O70" s="2">
        <v>0.35575936012827858</v>
      </c>
      <c r="P70" s="3" t="str">
        <f>IF(ROWS($A$2:A70)&lt;=ROUND(COUNTA($A:$A)*80%,0),"Training","Testing")</f>
        <v>Training</v>
      </c>
    </row>
    <row r="71" spans="1:16">
      <c r="A71" s="4">
        <v>7050000</v>
      </c>
      <c r="B71" s="5">
        <v>6450</v>
      </c>
      <c r="C71" s="5">
        <v>5</v>
      </c>
      <c r="D71" s="5">
        <v>3</v>
      </c>
      <c r="E71" s="5">
        <v>3</v>
      </c>
      <c r="F71" s="5">
        <v>1</v>
      </c>
      <c r="G71" s="5">
        <v>1</v>
      </c>
      <c r="H71" s="5">
        <v>1</v>
      </c>
      <c r="I71" s="5">
        <v>1</v>
      </c>
      <c r="J71" s="5">
        <v>3</v>
      </c>
      <c r="K71" s="5">
        <v>1</v>
      </c>
      <c r="L71" s="5">
        <v>1</v>
      </c>
      <c r="M71" s="5">
        <v>0</v>
      </c>
      <c r="N71" s="5">
        <f t="shared" ca="1" si="2"/>
        <v>0.20935358737776144</v>
      </c>
      <c r="O71" s="5">
        <v>0.39469843478851818</v>
      </c>
      <c r="P71" s="6" t="str">
        <f>IF(ROWS($A$2:A71)&lt;=ROUND(COUNTA($A:$A)*80%,0),"Training","Testing")</f>
        <v>Training</v>
      </c>
    </row>
    <row r="72" spans="1:16">
      <c r="A72" s="1">
        <v>3850000</v>
      </c>
      <c r="B72" s="2">
        <v>3350</v>
      </c>
      <c r="C72" s="2">
        <v>2</v>
      </c>
      <c r="D72" s="2">
        <v>1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f t="shared" ca="1" si="2"/>
        <v>0.20926367755224584</v>
      </c>
      <c r="O72" s="2">
        <v>0.78384349457227276</v>
      </c>
      <c r="P72" s="3" t="str">
        <f>IF(ROWS($A$2:A72)&lt;=ROUND(COUNTA($A:$A)*80%,0),"Training","Testing")</f>
        <v>Training</v>
      </c>
    </row>
    <row r="73" spans="1:16">
      <c r="A73" s="4">
        <v>10100000</v>
      </c>
      <c r="B73" s="5">
        <v>5100</v>
      </c>
      <c r="C73" s="5">
        <v>3</v>
      </c>
      <c r="D73" s="5">
        <v>2</v>
      </c>
      <c r="E73" s="5">
        <v>2</v>
      </c>
      <c r="F73" s="5">
        <v>1</v>
      </c>
      <c r="G73" s="5">
        <v>0</v>
      </c>
      <c r="H73" s="5">
        <v>0</v>
      </c>
      <c r="I73" s="5">
        <v>1</v>
      </c>
      <c r="J73" s="5">
        <v>2</v>
      </c>
      <c r="K73" s="5">
        <v>0</v>
      </c>
      <c r="L73" s="5">
        <v>0</v>
      </c>
      <c r="M73" s="5">
        <v>1</v>
      </c>
      <c r="N73" s="5">
        <f t="shared" ca="1" si="2"/>
        <v>0.24318694982053468</v>
      </c>
      <c r="O73" s="5">
        <v>0.17111923592414358</v>
      </c>
      <c r="P73" s="6" t="str">
        <f>IF(ROWS($A$2:A73)&lt;=ROUND(COUNTA($A:$A)*80%,0),"Training","Testing")</f>
        <v>Training</v>
      </c>
    </row>
    <row r="74" spans="1:16">
      <c r="A74" s="1">
        <v>6150000</v>
      </c>
      <c r="B74" s="2">
        <v>5900</v>
      </c>
      <c r="C74" s="2">
        <v>4</v>
      </c>
      <c r="D74" s="2">
        <v>3</v>
      </c>
      <c r="E74" s="2">
        <v>2</v>
      </c>
      <c r="F74" s="2">
        <v>1</v>
      </c>
      <c r="G74" s="2">
        <v>1</v>
      </c>
      <c r="H74" s="2">
        <v>1</v>
      </c>
      <c r="I74" s="2">
        <v>1</v>
      </c>
      <c r="J74" s="2">
        <v>2</v>
      </c>
      <c r="K74" s="2">
        <v>1</v>
      </c>
      <c r="L74" s="2">
        <v>1</v>
      </c>
      <c r="M74" s="2">
        <v>0</v>
      </c>
      <c r="N74" s="2">
        <f t="shared" ca="1" si="2"/>
        <v>0.17184830473433832</v>
      </c>
      <c r="O74" s="2">
        <v>0.15926996359064038</v>
      </c>
      <c r="P74" s="3" t="str">
        <f>IF(ROWS($A$2:A74)&lt;=ROUND(COUNTA($A:$A)*80%,0),"Training","Testing")</f>
        <v>Training</v>
      </c>
    </row>
    <row r="75" spans="1:16">
      <c r="A75" s="4">
        <v>5050000</v>
      </c>
      <c r="B75" s="5">
        <v>4650</v>
      </c>
      <c r="C75" s="5">
        <v>3</v>
      </c>
      <c r="D75" s="5">
        <v>2</v>
      </c>
      <c r="E75" s="5">
        <v>2</v>
      </c>
      <c r="F75" s="5">
        <v>1</v>
      </c>
      <c r="G75" s="5">
        <v>0</v>
      </c>
      <c r="H75" s="5">
        <v>0</v>
      </c>
      <c r="I75" s="5">
        <v>1</v>
      </c>
      <c r="J75" s="5">
        <v>2</v>
      </c>
      <c r="K75" s="5">
        <v>0</v>
      </c>
      <c r="L75" s="5">
        <v>0</v>
      </c>
      <c r="M75" s="5">
        <v>1</v>
      </c>
      <c r="N75" s="5">
        <f t="shared" ca="1" si="2"/>
        <v>0.60893020763016226</v>
      </c>
      <c r="O75" s="5">
        <v>0.55184118737138821</v>
      </c>
      <c r="P75" s="6" t="str">
        <f>IF(ROWS($A$2:A75)&lt;=ROUND(COUNTA($A:$A)*80%,0),"Training","Testing")</f>
        <v>Training</v>
      </c>
    </row>
    <row r="76" spans="1:16">
      <c r="A76" s="1">
        <v>5200000</v>
      </c>
      <c r="B76" s="2">
        <v>4850</v>
      </c>
      <c r="C76" s="2">
        <v>3</v>
      </c>
      <c r="D76" s="2">
        <v>2</v>
      </c>
      <c r="E76" s="2">
        <v>2</v>
      </c>
      <c r="F76" s="2">
        <v>1</v>
      </c>
      <c r="G76" s="2">
        <v>0</v>
      </c>
      <c r="H76" s="2">
        <v>1</v>
      </c>
      <c r="I76" s="2">
        <v>1</v>
      </c>
      <c r="J76" s="2">
        <v>2</v>
      </c>
      <c r="K76" s="2">
        <v>0</v>
      </c>
      <c r="L76" s="2">
        <v>0</v>
      </c>
      <c r="M76" s="2">
        <v>1</v>
      </c>
      <c r="N76" s="2">
        <f t="shared" ca="1" si="2"/>
        <v>0.47219573577063034</v>
      </c>
      <c r="O76" s="2">
        <v>0.83907124749443451</v>
      </c>
      <c r="P76" s="3" t="str">
        <f>IF(ROWS($A$2:A76)&lt;=ROUND(COUNTA($A:$A)*80%,0),"Training","Testing")</f>
        <v>Training</v>
      </c>
    </row>
    <row r="77" spans="1:16">
      <c r="A77" s="4">
        <v>6350000</v>
      </c>
      <c r="B77" s="5">
        <v>5900</v>
      </c>
      <c r="C77" s="5">
        <v>4</v>
      </c>
      <c r="D77" s="5">
        <v>3</v>
      </c>
      <c r="E77" s="5">
        <v>2</v>
      </c>
      <c r="F77" s="5">
        <v>1</v>
      </c>
      <c r="G77" s="5">
        <v>1</v>
      </c>
      <c r="H77" s="5">
        <v>0</v>
      </c>
      <c r="I77" s="5">
        <v>1</v>
      </c>
      <c r="J77" s="5">
        <v>2</v>
      </c>
      <c r="K77" s="5">
        <v>1</v>
      </c>
      <c r="L77" s="5">
        <v>1</v>
      </c>
      <c r="M77" s="5">
        <v>0</v>
      </c>
      <c r="N77" s="5">
        <f t="shared" ca="1" si="2"/>
        <v>0.18486352906311665</v>
      </c>
      <c r="O77" s="5">
        <v>0.50964839360683667</v>
      </c>
      <c r="P77" s="6" t="str">
        <f>IF(ROWS($A$2:A77)&lt;=ROUND(COUNTA($A:$A)*80%,0),"Training","Testing")</f>
        <v>Training</v>
      </c>
    </row>
    <row r="78" spans="1:16">
      <c r="A78" s="1">
        <v>5450000</v>
      </c>
      <c r="B78" s="2">
        <v>5100</v>
      </c>
      <c r="C78" s="2">
        <v>4</v>
      </c>
      <c r="D78" s="2">
        <v>2</v>
      </c>
      <c r="E78" s="2">
        <v>2</v>
      </c>
      <c r="F78" s="2">
        <v>1</v>
      </c>
      <c r="G78" s="2">
        <v>0</v>
      </c>
      <c r="H78" s="2">
        <v>1</v>
      </c>
      <c r="I78" s="2">
        <v>1</v>
      </c>
      <c r="J78" s="2">
        <v>2</v>
      </c>
      <c r="K78" s="2">
        <v>0</v>
      </c>
      <c r="L78" s="2">
        <v>0</v>
      </c>
      <c r="M78" s="2">
        <v>1</v>
      </c>
      <c r="N78" s="2">
        <f t="shared" ca="1" si="2"/>
        <v>0.21168871834501712</v>
      </c>
      <c r="O78" s="2">
        <v>0.97385530517407393</v>
      </c>
      <c r="P78" s="3" t="str">
        <f>IF(ROWS($A$2:A78)&lt;=ROUND(COUNTA($A:$A)*80%,0),"Training","Testing")</f>
        <v>Training</v>
      </c>
    </row>
    <row r="79" spans="1:16">
      <c r="A79" s="4">
        <v>5150000</v>
      </c>
      <c r="B79" s="5">
        <v>4750</v>
      </c>
      <c r="C79" s="5">
        <v>3</v>
      </c>
      <c r="D79" s="5">
        <v>2</v>
      </c>
      <c r="E79" s="5">
        <v>2</v>
      </c>
      <c r="F79" s="5">
        <v>1</v>
      </c>
      <c r="G79" s="5">
        <v>0</v>
      </c>
      <c r="H79" s="5">
        <v>0</v>
      </c>
      <c r="I79" s="5">
        <v>1</v>
      </c>
      <c r="J79" s="5">
        <v>2</v>
      </c>
      <c r="K79" s="5">
        <v>0</v>
      </c>
      <c r="L79" s="5">
        <v>0</v>
      </c>
      <c r="M79" s="5">
        <v>1</v>
      </c>
      <c r="N79" s="5">
        <f t="shared" ca="1" si="2"/>
        <v>0.95583018152120269</v>
      </c>
      <c r="O79" s="5">
        <v>0.67567208863620298</v>
      </c>
      <c r="P79" s="6" t="str">
        <f>IF(ROWS($A$2:A79)&lt;=ROUND(COUNTA($A:$A)*80%,0),"Training","Testing")</f>
        <v>Training</v>
      </c>
    </row>
    <row r="80" spans="1:16">
      <c r="A80" s="1">
        <v>4250000</v>
      </c>
      <c r="B80" s="2">
        <v>3900</v>
      </c>
      <c r="C80" s="2">
        <v>3</v>
      </c>
      <c r="D80" s="2">
        <v>2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f t="shared" ca="1" si="2"/>
        <v>0.72625117128168659</v>
      </c>
      <c r="O80" s="2">
        <v>0.63205305181916183</v>
      </c>
      <c r="P80" s="3" t="str">
        <f>IF(ROWS($A$2:A80)&lt;=ROUND(COUNTA($A:$A)*80%,0),"Training","Testing")</f>
        <v>Training</v>
      </c>
    </row>
    <row r="81" spans="1:16">
      <c r="A81" s="4">
        <v>4250000</v>
      </c>
      <c r="B81" s="5">
        <v>3950</v>
      </c>
      <c r="C81" s="5">
        <v>3</v>
      </c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f t="shared" ca="1" si="2"/>
        <v>0.99290266842489017</v>
      </c>
      <c r="O81" s="5">
        <v>0.35278762823429821</v>
      </c>
      <c r="P81" s="6" t="str">
        <f>IF(ROWS($A$2:A81)&lt;=ROUND(COUNTA($A:$A)*80%,0),"Training","Testing")</f>
        <v>Training</v>
      </c>
    </row>
    <row r="82" spans="1:16">
      <c r="A82" s="1">
        <v>4950000</v>
      </c>
      <c r="B82" s="2">
        <v>4550</v>
      </c>
      <c r="C82" s="2">
        <v>3</v>
      </c>
      <c r="D82" s="2">
        <v>2</v>
      </c>
      <c r="E82" s="2">
        <v>2</v>
      </c>
      <c r="F82" s="2">
        <v>1</v>
      </c>
      <c r="G82" s="2">
        <v>0</v>
      </c>
      <c r="H82" s="2">
        <v>1</v>
      </c>
      <c r="I82" s="2">
        <v>1</v>
      </c>
      <c r="J82" s="2">
        <v>2</v>
      </c>
      <c r="K82" s="2">
        <v>0</v>
      </c>
      <c r="L82" s="2">
        <v>0</v>
      </c>
      <c r="M82" s="2">
        <v>1</v>
      </c>
      <c r="N82" s="2">
        <f t="shared" ca="1" si="2"/>
        <v>0.79232417031870339</v>
      </c>
      <c r="O82" s="2">
        <v>0.50200879042764135</v>
      </c>
      <c r="P82" s="3" t="str">
        <f>IF(ROWS($A$2:A82)&lt;=ROUND(COUNTA($A:$A)*80%,0),"Training","Testing")</f>
        <v>Training</v>
      </c>
    </row>
    <row r="83" spans="1:16">
      <c r="A83" s="4">
        <v>6650000</v>
      </c>
      <c r="B83" s="5">
        <v>6150</v>
      </c>
      <c r="C83" s="5">
        <v>4</v>
      </c>
      <c r="D83" s="5">
        <v>3</v>
      </c>
      <c r="E83" s="5">
        <v>2</v>
      </c>
      <c r="F83" s="5">
        <v>1</v>
      </c>
      <c r="G83" s="5">
        <v>1</v>
      </c>
      <c r="H83" s="5">
        <v>0</v>
      </c>
      <c r="I83" s="5">
        <v>1</v>
      </c>
      <c r="J83" s="5">
        <v>2</v>
      </c>
      <c r="K83" s="5">
        <v>1</v>
      </c>
      <c r="L83" s="5">
        <v>1</v>
      </c>
      <c r="M83" s="5">
        <v>0</v>
      </c>
      <c r="N83" s="5">
        <f t="shared" ca="1" si="2"/>
        <v>0.75888622428205865</v>
      </c>
      <c r="O83" s="5">
        <v>0.97273949032993212</v>
      </c>
      <c r="P83" s="6" t="str">
        <f>IF(ROWS($A$2:A83)&lt;=ROUND(COUNTA($A:$A)*80%,0),"Training","Testing")</f>
        <v>Training</v>
      </c>
    </row>
    <row r="84" spans="1:16">
      <c r="A84" s="1">
        <v>7400000</v>
      </c>
      <c r="B84" s="2">
        <v>6750</v>
      </c>
      <c r="C84" s="2">
        <v>5</v>
      </c>
      <c r="D84" s="2">
        <v>3</v>
      </c>
      <c r="E84" s="2">
        <v>3</v>
      </c>
      <c r="F84" s="2">
        <v>1</v>
      </c>
      <c r="G84" s="2">
        <v>1</v>
      </c>
      <c r="H84" s="2">
        <v>0</v>
      </c>
      <c r="I84" s="2">
        <v>1</v>
      </c>
      <c r="J84" s="2">
        <v>3</v>
      </c>
      <c r="K84" s="2">
        <v>1</v>
      </c>
      <c r="L84" s="2">
        <v>1</v>
      </c>
      <c r="M84" s="2">
        <v>0</v>
      </c>
      <c r="N84" s="2">
        <f t="shared" ca="1" si="2"/>
        <v>0.32597882291865865</v>
      </c>
      <c r="O84" s="2">
        <v>0.75188629354092495</v>
      </c>
      <c r="P84" s="3" t="str">
        <f>IF(ROWS($A$2:A84)&lt;=ROUND(COUNTA($A:$A)*80%,0),"Training","Testing")</f>
        <v>Training</v>
      </c>
    </row>
    <row r="85" spans="1:16">
      <c r="A85" s="4">
        <v>5850000</v>
      </c>
      <c r="B85" s="5">
        <v>5450</v>
      </c>
      <c r="C85" s="5">
        <v>4</v>
      </c>
      <c r="D85" s="5">
        <v>2</v>
      </c>
      <c r="E85" s="5">
        <v>2</v>
      </c>
      <c r="F85" s="5">
        <v>1</v>
      </c>
      <c r="G85" s="5">
        <v>0</v>
      </c>
      <c r="H85" s="5">
        <v>1</v>
      </c>
      <c r="I85" s="5">
        <v>1</v>
      </c>
      <c r="J85" s="5">
        <v>2</v>
      </c>
      <c r="K85" s="5">
        <v>0</v>
      </c>
      <c r="L85" s="5">
        <v>0</v>
      </c>
      <c r="M85" s="5">
        <v>1</v>
      </c>
      <c r="N85" s="5">
        <f t="shared" ca="1" si="2"/>
        <v>0.28411396324930671</v>
      </c>
      <c r="O85" s="5">
        <v>0.18175937354428084</v>
      </c>
      <c r="P85" s="6" t="str">
        <f>IF(ROWS($A$2:A85)&lt;=ROUND(COUNTA($A:$A)*80%,0),"Training","Testing")</f>
        <v>Training</v>
      </c>
    </row>
    <row r="86" spans="1:16">
      <c r="A86" s="1">
        <v>3850000</v>
      </c>
      <c r="B86" s="2">
        <v>3400</v>
      </c>
      <c r="C86" s="2">
        <v>2</v>
      </c>
      <c r="D86" s="2">
        <v>1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f t="shared" ca="1" si="2"/>
        <v>0.883143964086468</v>
      </c>
      <c r="O86" s="2">
        <v>0.88330655089238286</v>
      </c>
      <c r="P86" s="3" t="str">
        <f>IF(ROWS($A$2:A86)&lt;=ROUND(COUNTA($A:$A)*80%,0),"Training","Testing")</f>
        <v>Training</v>
      </c>
    </row>
    <row r="87" spans="1:16">
      <c r="A87" s="4">
        <v>4850000</v>
      </c>
      <c r="B87" s="5">
        <v>4450</v>
      </c>
      <c r="C87" s="5">
        <v>3</v>
      </c>
      <c r="D87" s="5">
        <v>2</v>
      </c>
      <c r="E87" s="5">
        <v>2</v>
      </c>
      <c r="F87" s="5">
        <v>1</v>
      </c>
      <c r="G87" s="5">
        <v>0</v>
      </c>
      <c r="H87" s="5">
        <v>0</v>
      </c>
      <c r="I87" s="5">
        <v>0</v>
      </c>
      <c r="J87" s="5">
        <v>2</v>
      </c>
      <c r="K87" s="5">
        <v>0</v>
      </c>
      <c r="L87" s="5">
        <v>0</v>
      </c>
      <c r="M87" s="5">
        <v>1</v>
      </c>
      <c r="N87" s="5">
        <f t="shared" ca="1" si="2"/>
        <v>0.70620863240308362</v>
      </c>
      <c r="O87" s="5">
        <v>0.7003531016144624</v>
      </c>
      <c r="P87" s="6" t="str">
        <f>IF(ROWS($A$2:A87)&lt;=ROUND(COUNTA($A:$A)*80%,0),"Training","Testing")</f>
        <v>Training</v>
      </c>
    </row>
    <row r="88" spans="1:16">
      <c r="A88" s="1">
        <v>8600000</v>
      </c>
      <c r="B88" s="2">
        <v>7900</v>
      </c>
      <c r="C88" s="2">
        <v>5</v>
      </c>
      <c r="D88" s="2">
        <v>4</v>
      </c>
      <c r="E88" s="2">
        <v>3</v>
      </c>
      <c r="F88" s="2">
        <v>1</v>
      </c>
      <c r="G88" s="2">
        <v>1</v>
      </c>
      <c r="H88" s="2">
        <v>1</v>
      </c>
      <c r="I88" s="2">
        <v>1</v>
      </c>
      <c r="J88" s="2">
        <v>3</v>
      </c>
      <c r="K88" s="2">
        <v>1</v>
      </c>
      <c r="L88" s="2">
        <v>1</v>
      </c>
      <c r="M88" s="2">
        <v>0</v>
      </c>
      <c r="N88" s="2">
        <f t="shared" ca="1" si="2"/>
        <v>0.12998995916846956</v>
      </c>
      <c r="O88" s="2">
        <v>9.7953851191490582E-2</v>
      </c>
      <c r="P88" s="3" t="str">
        <f>IF(ROWS($A$2:A88)&lt;=ROUND(COUNTA($A:$A)*80%,0),"Training","Testing")</f>
        <v>Training</v>
      </c>
    </row>
    <row r="89" spans="1:16">
      <c r="A89" s="4">
        <v>5400000</v>
      </c>
      <c r="B89" s="5">
        <v>5050</v>
      </c>
      <c r="C89" s="5">
        <v>3</v>
      </c>
      <c r="D89" s="5">
        <v>2</v>
      </c>
      <c r="E89" s="5">
        <v>2</v>
      </c>
      <c r="F89" s="5">
        <v>1</v>
      </c>
      <c r="G89" s="5">
        <v>0</v>
      </c>
      <c r="H89" s="5">
        <v>0</v>
      </c>
      <c r="I89" s="5">
        <v>1</v>
      </c>
      <c r="J89" s="5">
        <v>2</v>
      </c>
      <c r="K89" s="5">
        <v>0</v>
      </c>
      <c r="L89" s="5">
        <v>0</v>
      </c>
      <c r="M89" s="5">
        <v>1</v>
      </c>
      <c r="N89" s="5">
        <f t="shared" ca="1" si="2"/>
        <v>0.28786835227905982</v>
      </c>
      <c r="O89" s="5">
        <v>0.75783042635592845</v>
      </c>
      <c r="P89" s="6" t="str">
        <f>IF(ROWS($A$2:A89)&lt;=ROUND(COUNTA($A:$A)*80%,0),"Training","Testing")</f>
        <v>Training</v>
      </c>
    </row>
    <row r="90" spans="1:16">
      <c r="A90" s="1">
        <v>7850000</v>
      </c>
      <c r="B90" s="2">
        <v>7200</v>
      </c>
      <c r="C90" s="2">
        <v>5</v>
      </c>
      <c r="D90" s="2">
        <v>3</v>
      </c>
      <c r="E90" s="2">
        <v>3</v>
      </c>
      <c r="F90" s="2">
        <v>1</v>
      </c>
      <c r="G90" s="2">
        <v>1</v>
      </c>
      <c r="H90" s="2">
        <v>1</v>
      </c>
      <c r="I90" s="2">
        <v>1</v>
      </c>
      <c r="J90" s="2">
        <v>3</v>
      </c>
      <c r="K90" s="2">
        <v>1</v>
      </c>
      <c r="L90" s="2">
        <v>1</v>
      </c>
      <c r="M90" s="2">
        <v>0</v>
      </c>
      <c r="N90" s="2">
        <f t="shared" ca="1" si="2"/>
        <v>0.33216443976935539</v>
      </c>
      <c r="O90" s="2">
        <v>0.21296428949790036</v>
      </c>
      <c r="P90" s="3" t="str">
        <f>IF(ROWS($A$2:A90)&lt;=ROUND(COUNTA($A:$A)*80%,0),"Training","Testing")</f>
        <v>Training</v>
      </c>
    </row>
    <row r="91" spans="1:16">
      <c r="A91" s="4">
        <v>6950000</v>
      </c>
      <c r="B91" s="5">
        <v>6350</v>
      </c>
      <c r="C91" s="5">
        <v>4</v>
      </c>
      <c r="D91" s="5">
        <v>3</v>
      </c>
      <c r="E91" s="5">
        <v>2</v>
      </c>
      <c r="F91" s="5">
        <v>1</v>
      </c>
      <c r="G91" s="5">
        <v>1</v>
      </c>
      <c r="H91" s="5">
        <v>0</v>
      </c>
      <c r="I91" s="5">
        <v>1</v>
      </c>
      <c r="J91" s="5">
        <v>2</v>
      </c>
      <c r="K91" s="5">
        <v>1</v>
      </c>
      <c r="L91" s="5">
        <v>1</v>
      </c>
      <c r="M91" s="5">
        <v>0</v>
      </c>
      <c r="N91" s="5">
        <f t="shared" ca="1" si="2"/>
        <v>0.6725852469109963</v>
      </c>
      <c r="O91" s="5">
        <v>0.31852409388559544</v>
      </c>
      <c r="P91" s="6" t="str">
        <f>IF(ROWS($A$2:A91)&lt;=ROUND(COUNTA($A:$A)*80%,0),"Training","Testing")</f>
        <v>Training</v>
      </c>
    </row>
    <row r="92" spans="1:16">
      <c r="A92" s="1">
        <v>4350000</v>
      </c>
      <c r="B92" s="2">
        <v>4000</v>
      </c>
      <c r="C92" s="2">
        <v>3</v>
      </c>
      <c r="D92" s="2">
        <v>2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f t="shared" ca="1" si="2"/>
        <v>5.6870992582058522E-2</v>
      </c>
      <c r="O92" s="2">
        <v>0.64341004405223845</v>
      </c>
      <c r="P92" s="3" t="str">
        <f>IF(ROWS($A$2:A92)&lt;=ROUND(COUNTA($A:$A)*80%,0),"Training","Testing")</f>
        <v>Training</v>
      </c>
    </row>
    <row r="93" spans="1:16">
      <c r="A93" s="4">
        <v>4450000</v>
      </c>
      <c r="B93" s="5">
        <v>4150</v>
      </c>
      <c r="C93" s="5">
        <v>3</v>
      </c>
      <c r="D93" s="5">
        <v>2</v>
      </c>
      <c r="E93" s="5">
        <v>1</v>
      </c>
      <c r="F93" s="5">
        <v>0</v>
      </c>
      <c r="G93" s="5">
        <v>0</v>
      </c>
      <c r="H93" s="5">
        <v>0</v>
      </c>
      <c r="I93" s="5">
        <v>0</v>
      </c>
      <c r="J93" s="5">
        <v>2</v>
      </c>
      <c r="K93" s="5">
        <v>0</v>
      </c>
      <c r="L93" s="5">
        <v>0</v>
      </c>
      <c r="M93" s="5">
        <v>1</v>
      </c>
      <c r="N93" s="5">
        <f t="shared" ca="1" si="2"/>
        <v>0.13805359733229838</v>
      </c>
      <c r="O93" s="5">
        <v>2.3715861203281174E-2</v>
      </c>
      <c r="P93" s="6" t="str">
        <f>IF(ROWS($A$2:A93)&lt;=ROUND(COUNTA($A:$A)*80%,0),"Training","Testing")</f>
        <v>Training</v>
      </c>
    </row>
    <row r="94" spans="1:16">
      <c r="A94" s="1">
        <v>12200000</v>
      </c>
      <c r="B94" s="2">
        <v>7420</v>
      </c>
      <c r="C94" s="2">
        <v>4</v>
      </c>
      <c r="D94" s="2">
        <v>1</v>
      </c>
      <c r="E94" s="2">
        <v>2</v>
      </c>
      <c r="F94" s="2">
        <v>1</v>
      </c>
      <c r="G94" s="2">
        <v>1</v>
      </c>
      <c r="H94" s="2">
        <v>1</v>
      </c>
      <c r="I94" s="2">
        <v>1</v>
      </c>
      <c r="J94" s="2">
        <v>2</v>
      </c>
      <c r="K94" s="2">
        <v>0</v>
      </c>
      <c r="L94" s="2">
        <v>1</v>
      </c>
      <c r="M94" s="2">
        <v>0</v>
      </c>
      <c r="N94" s="2">
        <f t="shared" ca="1" si="2"/>
        <v>0.46971778676210996</v>
      </c>
      <c r="O94" s="2">
        <v>0.15173404597502527</v>
      </c>
      <c r="P94" s="3" t="str">
        <f>IF(ROWS($A$2:A94)&lt;=ROUND(COUNTA($A:$A)*80%,0),"Training","Testing")</f>
        <v>Training</v>
      </c>
    </row>
    <row r="95" spans="1:16">
      <c r="A95" s="4">
        <v>3650000</v>
      </c>
      <c r="B95" s="5">
        <v>3150</v>
      </c>
      <c r="C95" s="5">
        <v>2</v>
      </c>
      <c r="D95" s="5">
        <v>1</v>
      </c>
      <c r="E95" s="5">
        <v>1</v>
      </c>
      <c r="F95" s="5">
        <v>0</v>
      </c>
      <c r="G95" s="5">
        <v>0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f t="shared" ca="1" si="2"/>
        <v>0.28477904864412951</v>
      </c>
      <c r="O95" s="5">
        <v>0.63098453645128272</v>
      </c>
      <c r="P95" s="6" t="str">
        <f>IF(ROWS($A$2:A95)&lt;=ROUND(COUNTA($A:$A)*80%,0),"Training","Testing")</f>
        <v>Training</v>
      </c>
    </row>
    <row r="96" spans="1:16">
      <c r="A96" s="1">
        <v>8450000</v>
      </c>
      <c r="B96" s="2">
        <v>7750</v>
      </c>
      <c r="C96" s="2">
        <v>5</v>
      </c>
      <c r="D96" s="2">
        <v>4</v>
      </c>
      <c r="E96" s="2">
        <v>3</v>
      </c>
      <c r="F96" s="2">
        <v>1</v>
      </c>
      <c r="G96" s="2">
        <v>1</v>
      </c>
      <c r="H96" s="2">
        <v>1</v>
      </c>
      <c r="I96" s="2">
        <v>1</v>
      </c>
      <c r="J96" s="2">
        <v>3</v>
      </c>
      <c r="K96" s="2">
        <v>1</v>
      </c>
      <c r="L96" s="2">
        <v>1</v>
      </c>
      <c r="M96" s="2">
        <v>0</v>
      </c>
      <c r="N96" s="2">
        <f t="shared" ca="1" si="2"/>
        <v>0.45178462902655137</v>
      </c>
      <c r="O96" s="2">
        <v>0.53399670911364994</v>
      </c>
      <c r="P96" s="3" t="str">
        <f>IF(ROWS($A$2:A96)&lt;=ROUND(COUNTA($A:$A)*80%,0),"Training","Testing")</f>
        <v>Training</v>
      </c>
    </row>
    <row r="97" spans="1:16">
      <c r="A97" s="4">
        <v>5050000</v>
      </c>
      <c r="B97" s="5">
        <v>4700</v>
      </c>
      <c r="C97" s="5">
        <v>3</v>
      </c>
      <c r="D97" s="5">
        <v>2</v>
      </c>
      <c r="E97" s="5">
        <v>2</v>
      </c>
      <c r="F97" s="5">
        <v>1</v>
      </c>
      <c r="G97" s="5">
        <v>0</v>
      </c>
      <c r="H97" s="5">
        <v>1</v>
      </c>
      <c r="I97" s="5">
        <v>1</v>
      </c>
      <c r="J97" s="5">
        <v>2</v>
      </c>
      <c r="K97" s="5">
        <v>0</v>
      </c>
      <c r="L97" s="5">
        <v>0</v>
      </c>
      <c r="M97" s="5">
        <v>1</v>
      </c>
      <c r="N97" s="5">
        <f t="shared" ca="1" si="2"/>
        <v>9.7768328810081684E-2</v>
      </c>
      <c r="O97" s="5">
        <v>0.50280268785455129</v>
      </c>
      <c r="P97" s="6" t="str">
        <f>IF(ROWS($A$2:A97)&lt;=ROUND(COUNTA($A:$A)*80%,0),"Training","Testing")</f>
        <v>Training</v>
      </c>
    </row>
    <row r="98" spans="1:16">
      <c r="A98" s="1">
        <v>4550000</v>
      </c>
      <c r="B98" s="2">
        <v>4200</v>
      </c>
      <c r="C98" s="2">
        <v>3</v>
      </c>
      <c r="D98" s="2">
        <v>2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2</v>
      </c>
      <c r="K98" s="2">
        <v>0</v>
      </c>
      <c r="L98" s="2">
        <v>0</v>
      </c>
      <c r="M98" s="2">
        <v>1</v>
      </c>
      <c r="N98" s="2">
        <f t="shared" ref="N98:N129" ca="1" si="3">RAND()</f>
        <v>0.21217882555565437</v>
      </c>
      <c r="O98" s="2">
        <v>0.38918845860018181</v>
      </c>
      <c r="P98" s="3" t="str">
        <f>IF(ROWS($A$2:A98)&lt;=ROUND(COUNTA($A:$A)*80%,0),"Training","Testing")</f>
        <v>Training</v>
      </c>
    </row>
    <row r="99" spans="1:16">
      <c r="A99" s="4">
        <v>3900000</v>
      </c>
      <c r="B99" s="5">
        <v>3450</v>
      </c>
      <c r="C99" s="5">
        <v>2</v>
      </c>
      <c r="D99" s="5">
        <v>1</v>
      </c>
      <c r="E99" s="5">
        <v>1</v>
      </c>
      <c r="F99" s="5">
        <v>0</v>
      </c>
      <c r="G99" s="5">
        <v>0</v>
      </c>
      <c r="H99" s="5">
        <v>0</v>
      </c>
      <c r="I99" s="5">
        <v>0</v>
      </c>
      <c r="J99" s="5">
        <v>1</v>
      </c>
      <c r="K99" s="5">
        <v>0</v>
      </c>
      <c r="L99" s="5">
        <v>0</v>
      </c>
      <c r="M99" s="5">
        <v>0</v>
      </c>
      <c r="N99" s="5">
        <f t="shared" ca="1" si="3"/>
        <v>0.8781767550528552</v>
      </c>
      <c r="O99" s="5">
        <v>0.81253278515821692</v>
      </c>
      <c r="P99" s="6" t="str">
        <f>IF(ROWS($A$2:A99)&lt;=ROUND(COUNTA($A:$A)*80%,0),"Training","Testing")</f>
        <v>Training</v>
      </c>
    </row>
    <row r="100" spans="1:16">
      <c r="A100" s="1">
        <v>3850000</v>
      </c>
      <c r="B100" s="2">
        <v>3250</v>
      </c>
      <c r="C100" s="2">
        <v>2</v>
      </c>
      <c r="D100" s="2">
        <v>1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f t="shared" ca="1" si="3"/>
        <v>0.57551185022409035</v>
      </c>
      <c r="O100" s="2">
        <v>0.58601103556874679</v>
      </c>
      <c r="P100" s="3" t="str">
        <f>IF(ROWS($A$2:A100)&lt;=ROUND(COUNTA($A:$A)*80%,0),"Training","Testing")</f>
        <v>Training</v>
      </c>
    </row>
    <row r="101" spans="1:16">
      <c r="A101" s="4">
        <v>5100000</v>
      </c>
      <c r="B101" s="5">
        <v>4850</v>
      </c>
      <c r="C101" s="5">
        <v>3</v>
      </c>
      <c r="D101" s="5">
        <v>2</v>
      </c>
      <c r="E101" s="5">
        <v>2</v>
      </c>
      <c r="F101" s="5">
        <v>1</v>
      </c>
      <c r="G101" s="5">
        <v>0</v>
      </c>
      <c r="H101" s="5">
        <v>1</v>
      </c>
      <c r="I101" s="5">
        <v>1</v>
      </c>
      <c r="J101" s="5">
        <v>2</v>
      </c>
      <c r="K101" s="5">
        <v>0</v>
      </c>
      <c r="L101" s="5">
        <v>0</v>
      </c>
      <c r="M101" s="5">
        <v>1</v>
      </c>
      <c r="N101" s="5">
        <f t="shared" ca="1" si="3"/>
        <v>0.30807192671536421</v>
      </c>
      <c r="O101" s="5">
        <v>0.14403578660153793</v>
      </c>
      <c r="P101" s="6" t="str">
        <f>IF(ROWS($A$2:A101)&lt;=ROUND(COUNTA($A:$A)*80%,0),"Training","Testing")</f>
        <v>Training</v>
      </c>
    </row>
    <row r="102" spans="1:16">
      <c r="A102" s="1">
        <v>4650000</v>
      </c>
      <c r="B102" s="2">
        <v>4350</v>
      </c>
      <c r="C102" s="2">
        <v>3</v>
      </c>
      <c r="D102" s="2">
        <v>2</v>
      </c>
      <c r="E102" s="2">
        <v>2</v>
      </c>
      <c r="F102" s="2">
        <v>1</v>
      </c>
      <c r="G102" s="2">
        <v>0</v>
      </c>
      <c r="H102" s="2">
        <v>0</v>
      </c>
      <c r="I102" s="2">
        <v>1</v>
      </c>
      <c r="J102" s="2">
        <v>2</v>
      </c>
      <c r="K102" s="2">
        <v>0</v>
      </c>
      <c r="L102" s="2">
        <v>0</v>
      </c>
      <c r="M102" s="2">
        <v>1</v>
      </c>
      <c r="N102" s="2">
        <f t="shared" ca="1" si="3"/>
        <v>0.47457897083819034</v>
      </c>
      <c r="O102" s="2">
        <v>0.62438678147699589</v>
      </c>
      <c r="P102" s="3" t="str">
        <f>IF(ROWS($A$2:A102)&lt;=ROUND(COUNTA($A:$A)*80%,0),"Training","Testing")</f>
        <v>Training</v>
      </c>
    </row>
    <row r="103" spans="1:16">
      <c r="A103" s="4">
        <v>6150000</v>
      </c>
      <c r="B103" s="5">
        <v>5750</v>
      </c>
      <c r="C103" s="5">
        <v>4</v>
      </c>
      <c r="D103" s="5">
        <v>3</v>
      </c>
      <c r="E103" s="5">
        <v>2</v>
      </c>
      <c r="F103" s="5">
        <v>1</v>
      </c>
      <c r="G103" s="5">
        <v>1</v>
      </c>
      <c r="H103" s="5">
        <v>0</v>
      </c>
      <c r="I103" s="5">
        <v>1</v>
      </c>
      <c r="J103" s="5">
        <v>2</v>
      </c>
      <c r="K103" s="5">
        <v>1</v>
      </c>
      <c r="L103" s="5">
        <v>1</v>
      </c>
      <c r="M103" s="5">
        <v>0</v>
      </c>
      <c r="N103" s="5">
        <f t="shared" ca="1" si="3"/>
        <v>0.31643772144490989</v>
      </c>
      <c r="O103" s="5">
        <v>0.77759783293934526</v>
      </c>
      <c r="P103" s="6" t="str">
        <f>IF(ROWS($A$2:A103)&lt;=ROUND(COUNTA($A:$A)*80%,0),"Training","Testing")</f>
        <v>Training</v>
      </c>
    </row>
    <row r="104" spans="1:16">
      <c r="A104" s="1">
        <v>7850000</v>
      </c>
      <c r="B104" s="2">
        <v>7150</v>
      </c>
      <c r="C104" s="2">
        <v>5</v>
      </c>
      <c r="D104" s="2">
        <v>3</v>
      </c>
      <c r="E104" s="2">
        <v>3</v>
      </c>
      <c r="F104" s="2">
        <v>1</v>
      </c>
      <c r="G104" s="2">
        <v>1</v>
      </c>
      <c r="H104" s="2">
        <v>1</v>
      </c>
      <c r="I104" s="2">
        <v>1</v>
      </c>
      <c r="J104" s="2">
        <v>3</v>
      </c>
      <c r="K104" s="2">
        <v>1</v>
      </c>
      <c r="L104" s="2">
        <v>1</v>
      </c>
      <c r="M104" s="2">
        <v>0</v>
      </c>
      <c r="N104" s="2">
        <f t="shared" ca="1" si="3"/>
        <v>0.2177037825120165</v>
      </c>
      <c r="O104" s="2">
        <v>0.69207869382325127</v>
      </c>
      <c r="P104" s="3" t="str">
        <f>IF(ROWS($A$2:A104)&lt;=ROUND(COUNTA($A:$A)*80%,0),"Training","Testing")</f>
        <v>Training</v>
      </c>
    </row>
    <row r="105" spans="1:16">
      <c r="A105" s="4">
        <v>5200000</v>
      </c>
      <c r="B105" s="5">
        <v>3200</v>
      </c>
      <c r="C105" s="5">
        <v>2</v>
      </c>
      <c r="D105" s="5">
        <v>1</v>
      </c>
      <c r="E105" s="5">
        <v>1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f t="shared" ca="1" si="3"/>
        <v>0.12718211885697539</v>
      </c>
      <c r="O105" s="5">
        <v>0.86468176009519415</v>
      </c>
      <c r="P105" s="6" t="str">
        <f>IF(ROWS($A$2:A105)&lt;=ROUND(COUNTA($A:$A)*80%,0),"Training","Testing")</f>
        <v>Training</v>
      </c>
    </row>
    <row r="106" spans="1:16">
      <c r="A106" s="1">
        <v>11200000</v>
      </c>
      <c r="B106" s="2">
        <v>6500</v>
      </c>
      <c r="C106" s="2">
        <v>3</v>
      </c>
      <c r="D106" s="2">
        <v>2</v>
      </c>
      <c r="E106" s="2">
        <v>2</v>
      </c>
      <c r="F106" s="2">
        <v>1</v>
      </c>
      <c r="G106" s="2">
        <v>0</v>
      </c>
      <c r="H106" s="2">
        <v>0</v>
      </c>
      <c r="I106" s="2">
        <v>1</v>
      </c>
      <c r="J106" s="2">
        <v>2</v>
      </c>
      <c r="K106" s="2">
        <v>1</v>
      </c>
      <c r="L106" s="2">
        <v>0</v>
      </c>
      <c r="M106" s="2">
        <v>1</v>
      </c>
      <c r="N106" s="2">
        <f t="shared" ca="1" si="3"/>
        <v>0.95642249105197141</v>
      </c>
      <c r="O106" s="2">
        <v>0.93315492424664592</v>
      </c>
      <c r="P106" s="3" t="str">
        <f>IF(ROWS($A$2:A106)&lt;=ROUND(COUNTA($A:$A)*80%,0),"Training","Testing")</f>
        <v>Training</v>
      </c>
    </row>
    <row r="107" spans="1:16">
      <c r="A107" s="4">
        <v>10800000</v>
      </c>
      <c r="B107" s="5">
        <v>5600</v>
      </c>
      <c r="C107" s="5">
        <v>3</v>
      </c>
      <c r="D107" s="5">
        <v>2</v>
      </c>
      <c r="E107" s="5">
        <v>2</v>
      </c>
      <c r="F107" s="5">
        <v>1</v>
      </c>
      <c r="G107" s="5">
        <v>0</v>
      </c>
      <c r="H107" s="5">
        <v>0</v>
      </c>
      <c r="I107" s="5">
        <v>1</v>
      </c>
      <c r="J107" s="5">
        <v>2</v>
      </c>
      <c r="K107" s="5">
        <v>1</v>
      </c>
      <c r="L107" s="5">
        <v>1</v>
      </c>
      <c r="M107" s="5">
        <v>0</v>
      </c>
      <c r="N107" s="5">
        <f t="shared" ca="1" si="3"/>
        <v>0.44665482197581463</v>
      </c>
      <c r="O107" s="5">
        <v>0.66322796158030894</v>
      </c>
      <c r="P107" s="6" t="str">
        <f>IF(ROWS($A$2:A107)&lt;=ROUND(COUNTA($A:$A)*80%,0),"Training","Testing")</f>
        <v>Training</v>
      </c>
    </row>
    <row r="108" spans="1:16">
      <c r="A108" s="1">
        <v>4550000</v>
      </c>
      <c r="B108" s="2">
        <v>4100</v>
      </c>
      <c r="C108" s="2">
        <v>3</v>
      </c>
      <c r="D108" s="2">
        <v>2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2</v>
      </c>
      <c r="K108" s="2">
        <v>0</v>
      </c>
      <c r="L108" s="2">
        <v>0</v>
      </c>
      <c r="M108" s="2">
        <v>1</v>
      </c>
      <c r="N108" s="2">
        <f t="shared" ca="1" si="3"/>
        <v>0.96232368506514721</v>
      </c>
      <c r="O108" s="2">
        <v>5.0342568533660592E-2</v>
      </c>
      <c r="P108" s="3" t="str">
        <f>IF(ROWS($A$2:A108)&lt;=ROUND(COUNTA($A:$A)*80%,0),"Training","Testing")</f>
        <v>Training</v>
      </c>
    </row>
    <row r="109" spans="1:16">
      <c r="A109" s="4">
        <v>8100000</v>
      </c>
      <c r="B109" s="5">
        <v>4800</v>
      </c>
      <c r="C109" s="5">
        <v>3</v>
      </c>
      <c r="D109" s="5">
        <v>2</v>
      </c>
      <c r="E109" s="5">
        <v>1</v>
      </c>
      <c r="F109" s="5">
        <v>1</v>
      </c>
      <c r="G109" s="5">
        <v>0</v>
      </c>
      <c r="H109" s="5">
        <v>1</v>
      </c>
      <c r="I109" s="5">
        <v>0</v>
      </c>
      <c r="J109" s="5">
        <v>1</v>
      </c>
      <c r="K109" s="5">
        <v>0</v>
      </c>
      <c r="L109" s="5">
        <v>0</v>
      </c>
      <c r="M109" s="5">
        <v>0</v>
      </c>
      <c r="N109" s="5">
        <f t="shared" ca="1" si="3"/>
        <v>0.69932318154388684</v>
      </c>
      <c r="O109" s="5">
        <v>0.66487512572190854</v>
      </c>
      <c r="P109" s="6" t="str">
        <f>IF(ROWS($A$2:A109)&lt;=ROUND(COUNTA($A:$A)*80%,0),"Training","Testing")</f>
        <v>Training</v>
      </c>
    </row>
    <row r="110" spans="1:16">
      <c r="A110" s="1">
        <v>4700000</v>
      </c>
      <c r="B110" s="2">
        <v>4400</v>
      </c>
      <c r="C110" s="2">
        <v>3</v>
      </c>
      <c r="D110" s="2">
        <v>2</v>
      </c>
      <c r="E110" s="2">
        <v>1</v>
      </c>
      <c r="F110" s="2">
        <v>1</v>
      </c>
      <c r="G110" s="2">
        <v>0</v>
      </c>
      <c r="H110" s="2">
        <v>0</v>
      </c>
      <c r="I110" s="2">
        <v>0</v>
      </c>
      <c r="J110" s="2">
        <v>2</v>
      </c>
      <c r="K110" s="2">
        <v>0</v>
      </c>
      <c r="L110" s="2">
        <v>0</v>
      </c>
      <c r="M110" s="2">
        <v>1</v>
      </c>
      <c r="N110" s="2">
        <f t="shared" ca="1" si="3"/>
        <v>0.49592757525676923</v>
      </c>
      <c r="O110" s="2">
        <v>0.13595649735666548</v>
      </c>
      <c r="P110" s="3" t="str">
        <f>IF(ROWS($A$2:A110)&lt;=ROUND(COUNTA($A:$A)*80%,0),"Training","Testing")</f>
        <v>Testing</v>
      </c>
    </row>
    <row r="111" spans="1:16">
      <c r="A111" s="4">
        <v>3550000</v>
      </c>
      <c r="B111" s="5">
        <v>3050</v>
      </c>
      <c r="C111" s="5">
        <v>2</v>
      </c>
      <c r="D111" s="5">
        <v>1</v>
      </c>
      <c r="E111" s="5">
        <v>1</v>
      </c>
      <c r="F111" s="5">
        <v>0</v>
      </c>
      <c r="G111" s="5">
        <v>0</v>
      </c>
      <c r="H111" s="5">
        <v>0</v>
      </c>
      <c r="I111" s="5">
        <v>0</v>
      </c>
      <c r="J111" s="5">
        <v>1</v>
      </c>
      <c r="K111" s="5">
        <v>0</v>
      </c>
      <c r="L111" s="5">
        <v>0</v>
      </c>
      <c r="M111" s="5">
        <v>0</v>
      </c>
      <c r="N111" s="5">
        <f t="shared" ca="1" si="3"/>
        <v>0.19701644002638397</v>
      </c>
      <c r="O111" s="5">
        <v>0.90075640927857592</v>
      </c>
      <c r="P111" s="6" t="str">
        <f>IF(ROWS($A$2:A111)&lt;=ROUND(COUNTA($A:$A)*80%,0),"Training","Testing")</f>
        <v>Testing</v>
      </c>
    </row>
    <row r="112" spans="1:16">
      <c r="A112" s="1">
        <v>5750000</v>
      </c>
      <c r="B112" s="2">
        <v>5450</v>
      </c>
      <c r="C112" s="2">
        <v>4</v>
      </c>
      <c r="D112" s="2">
        <v>2</v>
      </c>
      <c r="E112" s="2">
        <v>2</v>
      </c>
      <c r="F112" s="2">
        <v>1</v>
      </c>
      <c r="G112" s="2">
        <v>0</v>
      </c>
      <c r="H112" s="2">
        <v>1</v>
      </c>
      <c r="I112" s="2">
        <v>1</v>
      </c>
      <c r="J112" s="2">
        <v>2</v>
      </c>
      <c r="K112" s="2">
        <v>0</v>
      </c>
      <c r="L112" s="2">
        <v>0</v>
      </c>
      <c r="M112" s="2">
        <v>1</v>
      </c>
      <c r="N112" s="2">
        <f t="shared" ca="1" si="3"/>
        <v>0.96346580493076783</v>
      </c>
      <c r="O112" s="2">
        <v>0.79517448347634412</v>
      </c>
      <c r="P112" s="3" t="str">
        <f>IF(ROWS($A$2:A112)&lt;=ROUND(COUNTA($A:$A)*80%,0),"Training","Testing")</f>
        <v>Testing</v>
      </c>
    </row>
    <row r="113" spans="1:16">
      <c r="A113" s="4">
        <v>5850000</v>
      </c>
      <c r="B113" s="5">
        <v>5500</v>
      </c>
      <c r="C113" s="5">
        <v>4</v>
      </c>
      <c r="D113" s="5">
        <v>2</v>
      </c>
      <c r="E113" s="5">
        <v>2</v>
      </c>
      <c r="F113" s="5">
        <v>1</v>
      </c>
      <c r="G113" s="5">
        <v>0</v>
      </c>
      <c r="H113" s="5">
        <v>1</v>
      </c>
      <c r="I113" s="5">
        <v>1</v>
      </c>
      <c r="J113" s="5">
        <v>2</v>
      </c>
      <c r="K113" s="5">
        <v>0</v>
      </c>
      <c r="L113" s="5">
        <v>0</v>
      </c>
      <c r="M113" s="5">
        <v>1</v>
      </c>
      <c r="N113" s="5">
        <f t="shared" ca="1" si="3"/>
        <v>0.75665269484815045</v>
      </c>
      <c r="O113" s="5">
        <v>0.76178233246388194</v>
      </c>
      <c r="P113" s="6" t="str">
        <f>IF(ROWS($A$2:A113)&lt;=ROUND(COUNTA($A:$A)*80%,0),"Training","Testing")</f>
        <v>Testing</v>
      </c>
    </row>
    <row r="114" spans="1:16">
      <c r="A114" s="1">
        <v>5850000</v>
      </c>
      <c r="B114" s="2">
        <v>5500</v>
      </c>
      <c r="C114" s="2">
        <v>4</v>
      </c>
      <c r="D114" s="2">
        <v>2</v>
      </c>
      <c r="E114" s="2">
        <v>2</v>
      </c>
      <c r="F114" s="2">
        <v>1</v>
      </c>
      <c r="G114" s="2">
        <v>0</v>
      </c>
      <c r="H114" s="2">
        <v>1</v>
      </c>
      <c r="I114" s="2">
        <v>1</v>
      </c>
      <c r="J114" s="2">
        <v>2</v>
      </c>
      <c r="K114" s="2">
        <v>0</v>
      </c>
      <c r="L114" s="2">
        <v>0</v>
      </c>
      <c r="M114" s="2">
        <v>1</v>
      </c>
      <c r="N114" s="2">
        <f t="shared" ca="1" si="3"/>
        <v>0.36822651988248123</v>
      </c>
      <c r="O114" s="2">
        <v>0.18872142079300114</v>
      </c>
      <c r="P114" s="3" t="str">
        <f>IF(ROWS($A$2:A114)&lt;=ROUND(COUNTA($A:$A)*80%,0),"Training","Testing")</f>
        <v>Testing</v>
      </c>
    </row>
    <row r="115" spans="1:16">
      <c r="A115" s="4">
        <v>6050000</v>
      </c>
      <c r="B115" s="5">
        <v>5650</v>
      </c>
      <c r="C115" s="5">
        <v>4</v>
      </c>
      <c r="D115" s="5">
        <v>3</v>
      </c>
      <c r="E115" s="5">
        <v>2</v>
      </c>
      <c r="F115" s="5">
        <v>1</v>
      </c>
      <c r="G115" s="5">
        <v>1</v>
      </c>
      <c r="H115" s="5">
        <v>0</v>
      </c>
      <c r="I115" s="5">
        <v>1</v>
      </c>
      <c r="J115" s="5">
        <v>2</v>
      </c>
      <c r="K115" s="5">
        <v>1</v>
      </c>
      <c r="L115" s="5">
        <v>1</v>
      </c>
      <c r="M115" s="5">
        <v>0</v>
      </c>
      <c r="N115" s="5">
        <f t="shared" ca="1" si="3"/>
        <v>0.73145333937316603</v>
      </c>
      <c r="O115" s="5">
        <v>0.16056447664149098</v>
      </c>
      <c r="P115" s="6" t="str">
        <f>IF(ROWS($A$2:A115)&lt;=ROUND(COUNTA($A:$A)*80%,0),"Training","Testing")</f>
        <v>Testing</v>
      </c>
    </row>
    <row r="116" spans="1:16">
      <c r="A116" s="1">
        <v>5600000</v>
      </c>
      <c r="B116" s="2">
        <v>5250</v>
      </c>
      <c r="C116" s="2">
        <v>4</v>
      </c>
      <c r="D116" s="2">
        <v>2</v>
      </c>
      <c r="E116" s="2">
        <v>2</v>
      </c>
      <c r="F116" s="2">
        <v>1</v>
      </c>
      <c r="G116" s="2">
        <v>0</v>
      </c>
      <c r="H116" s="2">
        <v>1</v>
      </c>
      <c r="I116" s="2">
        <v>1</v>
      </c>
      <c r="J116" s="2">
        <v>2</v>
      </c>
      <c r="K116" s="2">
        <v>0</v>
      </c>
      <c r="L116" s="2">
        <v>0</v>
      </c>
      <c r="M116" s="2">
        <v>1</v>
      </c>
      <c r="N116" s="2">
        <f t="shared" ca="1" si="3"/>
        <v>0.35086536868414764</v>
      </c>
      <c r="O116" s="2">
        <v>5.6470750126088709E-2</v>
      </c>
      <c r="P116" s="3" t="str">
        <f>IF(ROWS($A$2:A116)&lt;=ROUND(COUNTA($A:$A)*80%,0),"Training","Testing")</f>
        <v>Testing</v>
      </c>
    </row>
    <row r="117" spans="1:16">
      <c r="A117" s="4">
        <v>7700000</v>
      </c>
      <c r="B117" s="5">
        <v>7050</v>
      </c>
      <c r="C117" s="5">
        <v>5</v>
      </c>
      <c r="D117" s="5">
        <v>3</v>
      </c>
      <c r="E117" s="5">
        <v>3</v>
      </c>
      <c r="F117" s="5">
        <v>1</v>
      </c>
      <c r="G117" s="5">
        <v>1</v>
      </c>
      <c r="H117" s="5">
        <v>1</v>
      </c>
      <c r="I117" s="5">
        <v>1</v>
      </c>
      <c r="J117" s="5">
        <v>3</v>
      </c>
      <c r="K117" s="5">
        <v>1</v>
      </c>
      <c r="L117" s="5">
        <v>1</v>
      </c>
      <c r="M117" s="5">
        <v>0</v>
      </c>
      <c r="N117" s="5">
        <f t="shared" ca="1" si="3"/>
        <v>0.59499877530759471</v>
      </c>
      <c r="O117" s="5">
        <v>0.48250463575007529</v>
      </c>
      <c r="P117" s="6" t="str">
        <f>IF(ROWS($A$2:A117)&lt;=ROUND(COUNTA($A:$A)*80%,0),"Training","Testing")</f>
        <v>Testing</v>
      </c>
    </row>
    <row r="118" spans="1:16">
      <c r="A118" s="1">
        <v>6550000</v>
      </c>
      <c r="B118" s="2">
        <v>6050</v>
      </c>
      <c r="C118" s="2">
        <v>4</v>
      </c>
      <c r="D118" s="2">
        <v>2</v>
      </c>
      <c r="E118" s="2">
        <v>2</v>
      </c>
      <c r="F118" s="2">
        <v>1</v>
      </c>
      <c r="G118" s="2">
        <v>1</v>
      </c>
      <c r="H118" s="2">
        <v>0</v>
      </c>
      <c r="I118" s="2">
        <v>1</v>
      </c>
      <c r="J118" s="2">
        <v>2</v>
      </c>
      <c r="K118" s="2">
        <v>1</v>
      </c>
      <c r="L118" s="2">
        <v>1</v>
      </c>
      <c r="M118" s="2">
        <v>0</v>
      </c>
      <c r="N118" s="2">
        <f t="shared" ca="1" si="3"/>
        <v>0.67372992536443532</v>
      </c>
      <c r="O118" s="2">
        <v>0.15327735366435236</v>
      </c>
      <c r="P118" s="3" t="str">
        <f>IF(ROWS($A$2:A118)&lt;=ROUND(COUNTA($A:$A)*80%,0),"Training","Testing")</f>
        <v>Testing</v>
      </c>
    </row>
    <row r="119" spans="1:16">
      <c r="A119" s="4">
        <v>4700000</v>
      </c>
      <c r="B119" s="5">
        <v>4350</v>
      </c>
      <c r="C119" s="5">
        <v>3</v>
      </c>
      <c r="D119" s="5">
        <v>2</v>
      </c>
      <c r="E119" s="5">
        <v>2</v>
      </c>
      <c r="F119" s="5">
        <v>1</v>
      </c>
      <c r="G119" s="5">
        <v>0</v>
      </c>
      <c r="H119" s="5">
        <v>0</v>
      </c>
      <c r="I119" s="5">
        <v>0</v>
      </c>
      <c r="J119" s="5">
        <v>2</v>
      </c>
      <c r="K119" s="5">
        <v>0</v>
      </c>
      <c r="L119" s="5">
        <v>0</v>
      </c>
      <c r="M119" s="5">
        <v>1</v>
      </c>
      <c r="N119" s="5">
        <f t="shared" ca="1" si="3"/>
        <v>0.85903898323603289</v>
      </c>
      <c r="O119" s="5">
        <v>0.98102583446914793</v>
      </c>
      <c r="P119" s="6" t="str">
        <f>IF(ROWS($A$2:A119)&lt;=ROUND(COUNTA($A:$A)*80%,0),"Training","Testing")</f>
        <v>Testing</v>
      </c>
    </row>
    <row r="120" spans="1:16">
      <c r="A120" s="1">
        <v>6750000</v>
      </c>
      <c r="B120" s="2">
        <v>6200</v>
      </c>
      <c r="C120" s="2">
        <v>4</v>
      </c>
      <c r="D120" s="2">
        <v>3</v>
      </c>
      <c r="E120" s="2">
        <v>2</v>
      </c>
      <c r="F120" s="2">
        <v>1</v>
      </c>
      <c r="G120" s="2">
        <v>1</v>
      </c>
      <c r="H120" s="2">
        <v>0</v>
      </c>
      <c r="I120" s="2">
        <v>1</v>
      </c>
      <c r="J120" s="2">
        <v>2</v>
      </c>
      <c r="K120" s="2">
        <v>1</v>
      </c>
      <c r="L120" s="2">
        <v>1</v>
      </c>
      <c r="M120" s="2">
        <v>0</v>
      </c>
      <c r="N120" s="2">
        <f t="shared" ca="1" si="3"/>
        <v>0.90752555359114417</v>
      </c>
      <c r="O120" s="2">
        <v>0.14824736082928336</v>
      </c>
      <c r="P120" s="3" t="str">
        <f>IF(ROWS($A$2:A120)&lt;=ROUND(COUNTA($A:$A)*80%,0),"Training","Testing")</f>
        <v>Testing</v>
      </c>
    </row>
    <row r="121" spans="1:16">
      <c r="A121" s="4">
        <v>5650000</v>
      </c>
      <c r="B121" s="5">
        <v>5200</v>
      </c>
      <c r="C121" s="5">
        <v>3</v>
      </c>
      <c r="D121" s="5">
        <v>2</v>
      </c>
      <c r="E121" s="5">
        <v>2</v>
      </c>
      <c r="F121" s="5">
        <v>1</v>
      </c>
      <c r="G121" s="5">
        <v>0</v>
      </c>
      <c r="H121" s="5">
        <v>1</v>
      </c>
      <c r="I121" s="5">
        <v>1</v>
      </c>
      <c r="J121" s="5">
        <v>2</v>
      </c>
      <c r="K121" s="5">
        <v>0</v>
      </c>
      <c r="L121" s="5">
        <v>0</v>
      </c>
      <c r="M121" s="5">
        <v>1</v>
      </c>
      <c r="N121" s="5">
        <f t="shared" ca="1" si="3"/>
        <v>0.34485000946116973</v>
      </c>
      <c r="O121" s="5">
        <v>0.43403672118678249</v>
      </c>
      <c r="P121" s="6" t="str">
        <f>IF(ROWS($A$2:A121)&lt;=ROUND(COUNTA($A:$A)*80%,0),"Training","Testing")</f>
        <v>Testing</v>
      </c>
    </row>
    <row r="122" spans="1:16">
      <c r="A122" s="1">
        <v>4950000</v>
      </c>
      <c r="B122" s="2">
        <v>4550</v>
      </c>
      <c r="C122" s="2">
        <v>3</v>
      </c>
      <c r="D122" s="2">
        <v>2</v>
      </c>
      <c r="E122" s="2">
        <v>2</v>
      </c>
      <c r="F122" s="2">
        <v>1</v>
      </c>
      <c r="G122" s="2">
        <v>0</v>
      </c>
      <c r="H122" s="2">
        <v>1</v>
      </c>
      <c r="I122" s="2">
        <v>1</v>
      </c>
      <c r="J122" s="2">
        <v>2</v>
      </c>
      <c r="K122" s="2">
        <v>0</v>
      </c>
      <c r="L122" s="2">
        <v>0</v>
      </c>
      <c r="M122" s="2">
        <v>1</v>
      </c>
      <c r="N122" s="2">
        <f t="shared" ca="1" si="3"/>
        <v>0.44577827587244279</v>
      </c>
      <c r="O122" s="2">
        <v>0.79725640006673004</v>
      </c>
      <c r="P122" s="3" t="str">
        <f>IF(ROWS($A$2:A122)&lt;=ROUND(COUNTA($A:$A)*80%,0),"Training","Testing")</f>
        <v>Testing</v>
      </c>
    </row>
    <row r="123" spans="1:16">
      <c r="A123" s="4">
        <v>7600000</v>
      </c>
      <c r="B123" s="5">
        <v>6950</v>
      </c>
      <c r="C123" s="5">
        <v>5</v>
      </c>
      <c r="D123" s="5">
        <v>3</v>
      </c>
      <c r="E123" s="5">
        <v>3</v>
      </c>
      <c r="F123" s="5">
        <v>1</v>
      </c>
      <c r="G123" s="5">
        <v>1</v>
      </c>
      <c r="H123" s="5">
        <v>1</v>
      </c>
      <c r="I123" s="5">
        <v>1</v>
      </c>
      <c r="J123" s="5">
        <v>3</v>
      </c>
      <c r="K123" s="5">
        <v>1</v>
      </c>
      <c r="L123" s="5">
        <v>1</v>
      </c>
      <c r="M123" s="5">
        <v>0</v>
      </c>
      <c r="N123" s="5">
        <f t="shared" ca="1" si="3"/>
        <v>0.14048091262122253</v>
      </c>
      <c r="O123" s="5">
        <v>3.5383035658859696E-2</v>
      </c>
      <c r="P123" s="6" t="str">
        <f>IF(ROWS($A$2:A123)&lt;=ROUND(COUNTA($A:$A)*80%,0),"Training","Testing")</f>
        <v>Testing</v>
      </c>
    </row>
    <row r="124" spans="1:16">
      <c r="A124" s="1">
        <v>5400000</v>
      </c>
      <c r="B124" s="2">
        <v>5000</v>
      </c>
      <c r="C124" s="2">
        <v>3</v>
      </c>
      <c r="D124" s="2">
        <v>2</v>
      </c>
      <c r="E124" s="2">
        <v>2</v>
      </c>
      <c r="F124" s="2">
        <v>1</v>
      </c>
      <c r="G124" s="2">
        <v>0</v>
      </c>
      <c r="H124" s="2">
        <v>1</v>
      </c>
      <c r="I124" s="2">
        <v>1</v>
      </c>
      <c r="J124" s="2">
        <v>2</v>
      </c>
      <c r="K124" s="2">
        <v>0</v>
      </c>
      <c r="L124" s="2">
        <v>0</v>
      </c>
      <c r="M124" s="2">
        <v>1</v>
      </c>
      <c r="N124" s="2">
        <f t="shared" ca="1" si="3"/>
        <v>2.771150480763318E-2</v>
      </c>
      <c r="O124" s="2">
        <v>0.12352972930203687</v>
      </c>
      <c r="P124" s="3" t="str">
        <f>IF(ROWS($A$2:A124)&lt;=ROUND(COUNTA($A:$A)*80%,0),"Training","Testing")</f>
        <v>Testing</v>
      </c>
    </row>
    <row r="125" spans="1:16">
      <c r="A125" s="4">
        <v>5550000</v>
      </c>
      <c r="B125" s="5">
        <v>5200</v>
      </c>
      <c r="C125" s="5">
        <v>4</v>
      </c>
      <c r="D125" s="5">
        <v>2</v>
      </c>
      <c r="E125" s="5">
        <v>2</v>
      </c>
      <c r="F125" s="5">
        <v>1</v>
      </c>
      <c r="G125" s="5">
        <v>0</v>
      </c>
      <c r="H125" s="5">
        <v>1</v>
      </c>
      <c r="I125" s="5">
        <v>1</v>
      </c>
      <c r="J125" s="5">
        <v>2</v>
      </c>
      <c r="K125" s="5">
        <v>0</v>
      </c>
      <c r="L125" s="5">
        <v>0</v>
      </c>
      <c r="M125" s="5">
        <v>1</v>
      </c>
      <c r="N125" s="5">
        <f t="shared" ca="1" si="3"/>
        <v>0.27567504609330207</v>
      </c>
      <c r="O125" s="5">
        <v>0.3131158293933336</v>
      </c>
      <c r="P125" s="6" t="str">
        <f>IF(ROWS($A$2:A125)&lt;=ROUND(COUNTA($A:$A)*80%,0),"Training","Testing")</f>
        <v>Testing</v>
      </c>
    </row>
    <row r="126" spans="1:16">
      <c r="A126" s="1">
        <v>5550000</v>
      </c>
      <c r="B126" s="2">
        <v>5250</v>
      </c>
      <c r="C126" s="2">
        <v>3</v>
      </c>
      <c r="D126" s="2">
        <v>2</v>
      </c>
      <c r="E126" s="2">
        <v>2</v>
      </c>
      <c r="F126" s="2">
        <v>1</v>
      </c>
      <c r="G126" s="2">
        <v>0</v>
      </c>
      <c r="H126" s="2">
        <v>1</v>
      </c>
      <c r="I126" s="2">
        <v>1</v>
      </c>
      <c r="J126" s="2">
        <v>2</v>
      </c>
      <c r="K126" s="2">
        <v>0</v>
      </c>
      <c r="L126" s="2">
        <v>0</v>
      </c>
      <c r="M126" s="2">
        <v>1</v>
      </c>
      <c r="N126" s="2">
        <f t="shared" ca="1" si="3"/>
        <v>0.54801229942208929</v>
      </c>
      <c r="O126" s="2">
        <v>0.46929562399299296</v>
      </c>
      <c r="P126" s="3" t="str">
        <f>IF(ROWS($A$2:A126)&lt;=ROUND(COUNTA($A:$A)*80%,0),"Training","Testing")</f>
        <v>Testing</v>
      </c>
    </row>
    <row r="127" spans="1:16">
      <c r="A127" s="4">
        <v>4550000</v>
      </c>
      <c r="B127" s="5">
        <v>4250</v>
      </c>
      <c r="C127" s="5">
        <v>3</v>
      </c>
      <c r="D127" s="5">
        <v>2</v>
      </c>
      <c r="E127" s="5">
        <v>2</v>
      </c>
      <c r="F127" s="5">
        <v>0</v>
      </c>
      <c r="G127" s="5">
        <v>0</v>
      </c>
      <c r="H127" s="5">
        <v>0</v>
      </c>
      <c r="I127" s="5">
        <v>0</v>
      </c>
      <c r="J127" s="5">
        <v>2</v>
      </c>
      <c r="K127" s="5">
        <v>0</v>
      </c>
      <c r="L127" s="5">
        <v>0</v>
      </c>
      <c r="M127" s="5">
        <v>0</v>
      </c>
      <c r="N127" s="5">
        <f t="shared" ca="1" si="3"/>
        <v>0.56780540232217169</v>
      </c>
      <c r="O127" s="5">
        <v>0.62616373952526094</v>
      </c>
      <c r="P127" s="6" t="str">
        <f>IF(ROWS($A$2:A127)&lt;=ROUND(COUNTA($A:$A)*80%,0),"Training","Testing")</f>
        <v>Testing</v>
      </c>
    </row>
    <row r="128" spans="1:16">
      <c r="A128" s="1">
        <v>4900000</v>
      </c>
      <c r="B128" s="2">
        <v>4300</v>
      </c>
      <c r="C128" s="2">
        <v>3</v>
      </c>
      <c r="D128" s="2">
        <v>2</v>
      </c>
      <c r="E128" s="2">
        <v>2</v>
      </c>
      <c r="F128" s="2">
        <v>1</v>
      </c>
      <c r="G128" s="2">
        <v>0</v>
      </c>
      <c r="H128" s="2">
        <v>0</v>
      </c>
      <c r="I128" s="2">
        <v>1</v>
      </c>
      <c r="J128" s="2">
        <v>2</v>
      </c>
      <c r="K128" s="2">
        <v>0</v>
      </c>
      <c r="L128" s="2">
        <v>0</v>
      </c>
      <c r="M128" s="2">
        <v>1</v>
      </c>
      <c r="N128" s="2">
        <f t="shared" ca="1" si="3"/>
        <v>0.46189710118061478</v>
      </c>
      <c r="O128" s="2">
        <v>0.23561415393156582</v>
      </c>
      <c r="P128" s="3" t="str">
        <f>IF(ROWS($A$2:A128)&lt;=ROUND(COUNTA($A:$A)*80%,0),"Training","Testing")</f>
        <v>Testing</v>
      </c>
    </row>
    <row r="129" spans="1:16">
      <c r="A129" s="4">
        <v>3950000</v>
      </c>
      <c r="B129" s="5">
        <v>3350</v>
      </c>
      <c r="C129" s="5">
        <v>2</v>
      </c>
      <c r="D129" s="5">
        <v>1</v>
      </c>
      <c r="E129" s="5">
        <v>1</v>
      </c>
      <c r="F129" s="5">
        <v>0</v>
      </c>
      <c r="G129" s="5">
        <v>0</v>
      </c>
      <c r="H129" s="5">
        <v>0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5">
        <f t="shared" ca="1" si="3"/>
        <v>1.2490964735164867E-2</v>
      </c>
      <c r="O129" s="5">
        <v>0.453307925714586</v>
      </c>
      <c r="P129" s="6" t="str">
        <f>IF(ROWS($A$2:A129)&lt;=ROUND(COUNTA($A:$A)*80%,0),"Training","Testing")</f>
        <v>Testing</v>
      </c>
    </row>
    <row r="130" spans="1:16">
      <c r="A130" s="1">
        <v>8350000</v>
      </c>
      <c r="B130" s="2">
        <v>7600</v>
      </c>
      <c r="C130" s="2">
        <v>5</v>
      </c>
      <c r="D130" s="2">
        <v>4</v>
      </c>
      <c r="E130" s="2">
        <v>3</v>
      </c>
      <c r="F130" s="2">
        <v>1</v>
      </c>
      <c r="G130" s="2">
        <v>1</v>
      </c>
      <c r="H130" s="2">
        <v>1</v>
      </c>
      <c r="I130" s="2">
        <v>1</v>
      </c>
      <c r="J130" s="2">
        <v>3</v>
      </c>
      <c r="K130" s="2">
        <v>1</v>
      </c>
      <c r="L130" s="2">
        <v>1</v>
      </c>
      <c r="M130" s="2">
        <v>0</v>
      </c>
      <c r="N130" s="2">
        <f t="shared" ref="N130:N135" ca="1" si="4">RAND()</f>
        <v>0.94611442089303077</v>
      </c>
      <c r="O130" s="2">
        <v>0.65197594797378033</v>
      </c>
      <c r="P130" s="3" t="str">
        <f>IF(ROWS($A$2:A130)&lt;=ROUND(COUNTA($A:$A)*80%,0),"Training","Testing")</f>
        <v>Testing</v>
      </c>
    </row>
    <row r="131" spans="1:16">
      <c r="A131" s="4">
        <v>5050000</v>
      </c>
      <c r="B131" s="5">
        <v>4650</v>
      </c>
      <c r="C131" s="5">
        <v>3</v>
      </c>
      <c r="D131" s="5">
        <v>2</v>
      </c>
      <c r="E131" s="5">
        <v>2</v>
      </c>
      <c r="F131" s="5">
        <v>1</v>
      </c>
      <c r="G131" s="5">
        <v>0</v>
      </c>
      <c r="H131" s="5">
        <v>0</v>
      </c>
      <c r="I131" s="5">
        <v>1</v>
      </c>
      <c r="J131" s="5">
        <v>2</v>
      </c>
      <c r="K131" s="5">
        <v>0</v>
      </c>
      <c r="L131" s="5">
        <v>0</v>
      </c>
      <c r="M131" s="5">
        <v>1</v>
      </c>
      <c r="N131" s="5">
        <f t="shared" ca="1" si="4"/>
        <v>0.56851973299534497</v>
      </c>
      <c r="O131" s="5">
        <v>6.3631260738448714E-2</v>
      </c>
      <c r="P131" s="6" t="str">
        <f>IF(ROWS($A$2:A131)&lt;=ROUND(COUNTA($A:$A)*80%,0),"Training","Testing")</f>
        <v>Testing</v>
      </c>
    </row>
    <row r="132" spans="1:16">
      <c r="A132" s="1">
        <v>5950000</v>
      </c>
      <c r="B132" s="2">
        <v>5550</v>
      </c>
      <c r="C132" s="2">
        <v>4</v>
      </c>
      <c r="D132" s="2">
        <v>3</v>
      </c>
      <c r="E132" s="2">
        <v>2</v>
      </c>
      <c r="F132" s="2">
        <v>1</v>
      </c>
      <c r="G132" s="2">
        <v>1</v>
      </c>
      <c r="H132" s="2">
        <v>0</v>
      </c>
      <c r="I132" s="2">
        <v>1</v>
      </c>
      <c r="J132" s="2">
        <v>2</v>
      </c>
      <c r="K132" s="2">
        <v>1</v>
      </c>
      <c r="L132" s="2">
        <v>1</v>
      </c>
      <c r="M132" s="2">
        <v>0</v>
      </c>
      <c r="N132" s="2">
        <f t="shared" ca="1" si="4"/>
        <v>0.69977585516079899</v>
      </c>
      <c r="O132" s="2">
        <v>0.53721246226314678</v>
      </c>
      <c r="P132" s="3" t="str">
        <f>IF(ROWS($A$2:A132)&lt;=ROUND(COUNTA($A:$A)*80%,0),"Training","Testing")</f>
        <v>Testing</v>
      </c>
    </row>
    <row r="133" spans="1:16">
      <c r="A133" s="4">
        <v>7750000</v>
      </c>
      <c r="B133" s="5">
        <v>7050</v>
      </c>
      <c r="C133" s="5">
        <v>5</v>
      </c>
      <c r="D133" s="5">
        <v>3</v>
      </c>
      <c r="E133" s="5">
        <v>3</v>
      </c>
      <c r="F133" s="5">
        <v>1</v>
      </c>
      <c r="G133" s="5">
        <v>1</v>
      </c>
      <c r="H133" s="5">
        <v>1</v>
      </c>
      <c r="I133" s="5">
        <v>1</v>
      </c>
      <c r="J133" s="5">
        <v>3</v>
      </c>
      <c r="K133" s="5">
        <v>1</v>
      </c>
      <c r="L133" s="5">
        <v>1</v>
      </c>
      <c r="M133" s="5">
        <v>0</v>
      </c>
      <c r="N133" s="5">
        <f t="shared" ca="1" si="4"/>
        <v>0.82009912223787818</v>
      </c>
      <c r="O133" s="5">
        <v>0.39396901566539733</v>
      </c>
      <c r="P133" s="6" t="str">
        <f>IF(ROWS($A$2:A133)&lt;=ROUND(COUNTA($A:$A)*80%,0),"Training","Testing")</f>
        <v>Testing</v>
      </c>
    </row>
    <row r="134" spans="1:16">
      <c r="A134" s="1">
        <v>6050000</v>
      </c>
      <c r="B134" s="2">
        <v>5650</v>
      </c>
      <c r="C134" s="2">
        <v>4</v>
      </c>
      <c r="D134" s="2">
        <v>3</v>
      </c>
      <c r="E134" s="2">
        <v>2</v>
      </c>
      <c r="F134" s="2">
        <v>1</v>
      </c>
      <c r="G134" s="2">
        <v>1</v>
      </c>
      <c r="H134" s="2">
        <v>0</v>
      </c>
      <c r="I134" s="2">
        <v>1</v>
      </c>
      <c r="J134" s="2">
        <v>2</v>
      </c>
      <c r="K134" s="2">
        <v>1</v>
      </c>
      <c r="L134" s="2">
        <v>1</v>
      </c>
      <c r="M134" s="2">
        <v>0</v>
      </c>
      <c r="N134" s="2">
        <f t="shared" ca="1" si="4"/>
        <v>0.13429030818676202</v>
      </c>
      <c r="O134" s="2">
        <v>0.72227702337874289</v>
      </c>
      <c r="P134" s="3" t="str">
        <f>IF(ROWS($A$2:A134)&lt;=ROUND(COUNTA($A:$A)*80%,0),"Training","Testing")</f>
        <v>Testing</v>
      </c>
    </row>
    <row r="135" spans="1:16">
      <c r="A135" s="4">
        <v>8100000</v>
      </c>
      <c r="B135" s="5">
        <v>7200</v>
      </c>
      <c r="C135" s="5">
        <v>5</v>
      </c>
      <c r="D135" s="5">
        <v>3</v>
      </c>
      <c r="E135" s="5">
        <v>3</v>
      </c>
      <c r="F135" s="5">
        <v>1</v>
      </c>
      <c r="G135" s="5">
        <v>1</v>
      </c>
      <c r="H135" s="5">
        <v>1</v>
      </c>
      <c r="I135" s="5">
        <v>1</v>
      </c>
      <c r="J135" s="5">
        <v>3</v>
      </c>
      <c r="K135" s="5">
        <v>1</v>
      </c>
      <c r="L135" s="5">
        <v>1</v>
      </c>
      <c r="M135" s="5">
        <v>0</v>
      </c>
      <c r="N135" s="5">
        <f t="shared" ca="1" si="4"/>
        <v>0.72517392055018204</v>
      </c>
      <c r="O135" s="5">
        <v>0.69107124930785524</v>
      </c>
      <c r="P135" s="6" t="str">
        <f>IF(ROWS($A$2:A135)&lt;=ROUND(COUNTA($A:$A)*80%,0),"Training","Testing")</f>
        <v>Testing</v>
      </c>
    </row>
  </sheetData>
  <autoFilter ref="A1:P1" xr:uid="{B7F21EF4-0B22-408C-A8B6-38C5A6A0901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5D20-AAE5-4598-B34E-82BB2F7946F7}">
  <dimension ref="A1:Y34"/>
  <sheetViews>
    <sheetView topLeftCell="F1" workbookViewId="0">
      <selection activeCell="U41" sqref="U41"/>
    </sheetView>
  </sheetViews>
  <sheetFormatPr defaultRowHeight="14.5"/>
  <cols>
    <col min="1" max="1" width="8.81640625" bestFit="1" customWidth="1"/>
    <col min="2" max="2" width="4.81640625" bestFit="1" customWidth="1"/>
    <col min="3" max="12" width="3.36328125" bestFit="1" customWidth="1"/>
    <col min="13" max="13" width="3.36328125" customWidth="1"/>
    <col min="14" max="14" width="8.984375E-2" customWidth="1"/>
    <col min="15" max="15" width="18.08984375" hidden="1" customWidth="1"/>
    <col min="16" max="16" width="6.6328125" hidden="1" customWidth="1"/>
    <col min="17" max="17" width="11.81640625" bestFit="1" customWidth="1"/>
    <col min="20" max="20" width="18.90625" customWidth="1"/>
    <col min="22" max="22" width="15.6328125" customWidth="1"/>
    <col min="23" max="23" width="15.453125" bestFit="1" customWidth="1"/>
  </cols>
  <sheetData>
    <row r="1" spans="1:25" ht="107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9</v>
      </c>
      <c r="J1" s="26" t="s">
        <v>10</v>
      </c>
      <c r="K1" s="26" t="s">
        <v>11</v>
      </c>
      <c r="L1" s="26" t="s">
        <v>12</v>
      </c>
      <c r="M1" s="26" t="s">
        <v>18</v>
      </c>
      <c r="N1" s="27" t="s">
        <v>29</v>
      </c>
      <c r="O1" s="27" t="s">
        <v>30</v>
      </c>
      <c r="P1" s="28" t="s">
        <v>31</v>
      </c>
      <c r="Q1" s="22" t="s">
        <v>57</v>
      </c>
      <c r="R1" s="22" t="s">
        <v>58</v>
      </c>
      <c r="S1" s="22" t="s">
        <v>59</v>
      </c>
      <c r="T1" s="22" t="s">
        <v>60</v>
      </c>
    </row>
    <row r="2" spans="1:25">
      <c r="A2" s="1">
        <v>5650000</v>
      </c>
      <c r="B2" s="2">
        <v>5300</v>
      </c>
      <c r="C2" s="2">
        <v>4</v>
      </c>
      <c r="D2" s="2">
        <v>2</v>
      </c>
      <c r="E2" s="2">
        <v>2</v>
      </c>
      <c r="F2" s="2">
        <v>1</v>
      </c>
      <c r="G2" s="2">
        <v>0</v>
      </c>
      <c r="H2" s="2">
        <v>1</v>
      </c>
      <c r="I2" s="2">
        <v>1</v>
      </c>
      <c r="J2" s="2">
        <v>2</v>
      </c>
      <c r="K2" s="2">
        <v>0</v>
      </c>
      <c r="L2" s="2">
        <v>0</v>
      </c>
      <c r="M2" s="2">
        <v>1</v>
      </c>
      <c r="N2" s="2">
        <v>7.6113382353348968E-2</v>
      </c>
      <c r="O2" s="2">
        <v>0.41556999175326326</v>
      </c>
      <c r="P2" s="3" t="s">
        <v>32</v>
      </c>
      <c r="Q2">
        <f>train!T$17+train!T$18*test!B2+train!T$19*test!C2+train!T$20*test!D2+train!T$21*test!E2+train!T$22*test!F2+train!T$23*test!G2+train!T$24*test!H2+train!T$25*test!I2+train!T$26*test!J2+train!T$27*K2+train!T$28*test!L2+train!T$29*test!M2</f>
        <v>5895037.9123308761</v>
      </c>
      <c r="R2">
        <f t="shared" ref="R2:R33" si="0">A2-Q2</f>
        <v>-245037.9123308761</v>
      </c>
      <c r="S2">
        <f>ABS(R2)</f>
        <v>245037.9123308761</v>
      </c>
      <c r="T2" s="33">
        <f>R2^2</f>
        <v>60043578479.474121</v>
      </c>
      <c r="V2" s="18" t="s">
        <v>61</v>
      </c>
      <c r="W2" s="18" t="s">
        <v>62</v>
      </c>
      <c r="X2" s="18" t="s">
        <v>63</v>
      </c>
      <c r="Y2" s="18" t="s">
        <v>64</v>
      </c>
    </row>
    <row r="3" spans="1:25">
      <c r="A3" s="4">
        <v>7600000</v>
      </c>
      <c r="B3" s="5">
        <v>4100</v>
      </c>
      <c r="C3" s="5">
        <v>3</v>
      </c>
      <c r="D3" s="5">
        <v>1</v>
      </c>
      <c r="E3" s="5">
        <v>2</v>
      </c>
      <c r="F3" s="5">
        <v>1</v>
      </c>
      <c r="G3" s="5">
        <v>0</v>
      </c>
      <c r="H3" s="5">
        <v>1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5">
        <v>0.85662229665109901</v>
      </c>
      <c r="O3" s="5">
        <v>0.60194013961130055</v>
      </c>
      <c r="P3" s="6" t="s">
        <v>32</v>
      </c>
      <c r="Q3">
        <f>train!T$17+train!T$18*test!B3+train!T$19*test!C3+train!T$20*test!D3+train!T$21*test!E3+train!T$22*test!F3+train!T$23*test!G3+train!T$24*test!H3+train!T$25*test!I3+train!T$26*test!J3+train!T$27*K3+train!T$28*test!L3+train!T$29*test!M3</f>
        <v>6541567.8863133145</v>
      </c>
      <c r="R3">
        <f t="shared" si="0"/>
        <v>1058432.1136866855</v>
      </c>
      <c r="S3">
        <f t="shared" ref="S3:S34" si="1">ABS(R3)</f>
        <v>1058432.1136866855</v>
      </c>
      <c r="T3" s="33">
        <f t="shared" ref="T3:T34" si="2">R3^2</f>
        <v>1120278539283.2646</v>
      </c>
      <c r="V3" s="18">
        <f>AVERAGE(S2:S33)</f>
        <v>484285.12443892285</v>
      </c>
      <c r="W3" s="34">
        <f>AVERAGE(T2:T33)</f>
        <v>340540815735.15448</v>
      </c>
      <c r="X3" s="18">
        <f>SQRT(W3)</f>
        <v>583558.75088559382</v>
      </c>
      <c r="Y3" s="18">
        <f>1-SUM(T2:T33)/DEVSQ(A2:A33)</f>
        <v>0.91896106117702869</v>
      </c>
    </row>
    <row r="4" spans="1:25">
      <c r="A4" s="1">
        <v>4400000</v>
      </c>
      <c r="B4" s="2">
        <v>4050</v>
      </c>
      <c r="C4" s="2">
        <v>3</v>
      </c>
      <c r="D4" s="2">
        <v>2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2</v>
      </c>
      <c r="K4" s="2">
        <v>0</v>
      </c>
      <c r="L4" s="2">
        <v>0</v>
      </c>
      <c r="M4" s="2">
        <v>1</v>
      </c>
      <c r="N4" s="2">
        <v>0.36619263622347742</v>
      </c>
      <c r="O4" s="2">
        <v>0.36702777631862782</v>
      </c>
      <c r="P4" s="3" t="s">
        <v>32</v>
      </c>
      <c r="Q4">
        <f>train!T$17+train!T$18*test!B4+train!T$19*test!C4+train!T$20*test!D4+train!T$21*test!E4+train!T$22*test!F4+train!T$23*test!G4+train!T$24*test!H4+train!T$25*test!I4+train!T$26*test!J4+train!T$27*K4+train!T$28*test!L4+train!T$29*test!M4</f>
        <v>3869343.1441604118</v>
      </c>
      <c r="R4">
        <f t="shared" si="0"/>
        <v>530656.85583958821</v>
      </c>
      <c r="S4">
        <f t="shared" si="1"/>
        <v>530656.85583958821</v>
      </c>
      <c r="T4" s="33">
        <f t="shared" si="2"/>
        <v>281596698649.5575</v>
      </c>
    </row>
    <row r="5" spans="1:25">
      <c r="A5" s="4">
        <v>8350000</v>
      </c>
      <c r="B5" s="5">
        <v>7600</v>
      </c>
      <c r="C5" s="5">
        <v>5</v>
      </c>
      <c r="D5" s="5">
        <v>4</v>
      </c>
      <c r="E5" s="5">
        <v>3</v>
      </c>
      <c r="F5" s="5">
        <v>1</v>
      </c>
      <c r="G5" s="5">
        <v>1</v>
      </c>
      <c r="H5" s="5">
        <v>1</v>
      </c>
      <c r="I5" s="5">
        <v>1</v>
      </c>
      <c r="J5" s="5">
        <v>3</v>
      </c>
      <c r="K5" s="5">
        <v>1</v>
      </c>
      <c r="L5" s="5">
        <v>1</v>
      </c>
      <c r="M5" s="5">
        <v>0</v>
      </c>
      <c r="N5" s="5">
        <v>0.40403668710097929</v>
      </c>
      <c r="O5" s="5">
        <v>0.80305883688224944</v>
      </c>
      <c r="P5" s="6" t="s">
        <v>32</v>
      </c>
      <c r="Q5">
        <f>train!T$17+train!T$18*test!B5+train!T$19*test!C5+train!T$20*test!D5+train!T$21*test!E5+train!T$22*test!F5+train!T$23*test!G5+train!T$24*test!H5+train!T$25*test!I5+train!T$26*test!J5+train!T$27*K5+train!T$28*test!L5+train!T$29*test!M5</f>
        <v>8622721.0037802216</v>
      </c>
      <c r="R5">
        <f t="shared" si="0"/>
        <v>-272721.00378022157</v>
      </c>
      <c r="S5">
        <f t="shared" si="1"/>
        <v>272721.00378022157</v>
      </c>
      <c r="T5" s="33">
        <f t="shared" si="2"/>
        <v>74376745902.891632</v>
      </c>
    </row>
    <row r="6" spans="1:25">
      <c r="A6" s="1">
        <v>7350000</v>
      </c>
      <c r="B6" s="2">
        <v>6700</v>
      </c>
      <c r="C6" s="2">
        <v>5</v>
      </c>
      <c r="D6" s="2">
        <v>3</v>
      </c>
      <c r="E6" s="2">
        <v>3</v>
      </c>
      <c r="F6" s="2">
        <v>1</v>
      </c>
      <c r="G6" s="2">
        <v>1</v>
      </c>
      <c r="H6" s="2">
        <v>1</v>
      </c>
      <c r="I6" s="2">
        <v>1</v>
      </c>
      <c r="J6" s="2">
        <v>3</v>
      </c>
      <c r="K6" s="2">
        <v>1</v>
      </c>
      <c r="L6" s="2">
        <v>1</v>
      </c>
      <c r="M6" s="2">
        <v>0</v>
      </c>
      <c r="N6" s="2">
        <v>0.64283079656230324</v>
      </c>
      <c r="O6" s="2">
        <v>0.37174426063696719</v>
      </c>
      <c r="P6" s="3" t="s">
        <v>32</v>
      </c>
      <c r="Q6">
        <f>train!T$17+train!T$18*test!B6+train!T$19*test!C6+train!T$20*test!D6+train!T$21*test!E6+train!T$22*test!F6+train!T$23*test!G6+train!T$24*test!H6+train!T$25*test!I6+train!T$26*test!J6+train!T$27*K6+train!T$28*test!L6+train!T$29*test!M6</f>
        <v>7103536.5795234758</v>
      </c>
      <c r="R6">
        <f t="shared" si="0"/>
        <v>246463.42047652416</v>
      </c>
      <c r="S6">
        <f t="shared" si="1"/>
        <v>246463.42047652416</v>
      </c>
      <c r="T6" s="33">
        <f t="shared" si="2"/>
        <v>60744217632.987946</v>
      </c>
    </row>
    <row r="7" spans="1:25">
      <c r="A7" s="4">
        <v>7150000</v>
      </c>
      <c r="B7" s="5">
        <v>6500</v>
      </c>
      <c r="C7" s="5">
        <v>5</v>
      </c>
      <c r="D7" s="5">
        <v>3</v>
      </c>
      <c r="E7" s="5">
        <v>3</v>
      </c>
      <c r="F7" s="5">
        <v>1</v>
      </c>
      <c r="G7" s="5">
        <v>1</v>
      </c>
      <c r="H7" s="5">
        <v>1</v>
      </c>
      <c r="I7" s="5">
        <v>1</v>
      </c>
      <c r="J7" s="5">
        <v>3</v>
      </c>
      <c r="K7" s="5">
        <v>1</v>
      </c>
      <c r="L7" s="5">
        <v>1</v>
      </c>
      <c r="M7" s="5">
        <v>0</v>
      </c>
      <c r="N7" s="5">
        <v>0.28401268157318904</v>
      </c>
      <c r="O7" s="5">
        <v>0.54834884835729014</v>
      </c>
      <c r="P7" s="6" t="s">
        <v>32</v>
      </c>
      <c r="Q7">
        <f>train!T$17+train!T$18*test!B7+train!T$19*test!C7+train!T$20*test!D7+train!T$21*test!E7+train!T$22*test!F7+train!T$23*test!G7+train!T$24*test!H7+train!T$25*test!I7+train!T$26*test!J7+train!T$27*K7+train!T$28*test!L7+train!T$29*test!M7</f>
        <v>6666678.2411943618</v>
      </c>
      <c r="R7">
        <f t="shared" si="0"/>
        <v>483321.75880563818</v>
      </c>
      <c r="S7">
        <f t="shared" si="1"/>
        <v>483321.75880563818</v>
      </c>
      <c r="T7" s="33">
        <f t="shared" si="2"/>
        <v>233599922534.97549</v>
      </c>
    </row>
    <row r="8" spans="1:25">
      <c r="A8" s="1">
        <v>4550000</v>
      </c>
      <c r="B8" s="2">
        <v>4200</v>
      </c>
      <c r="C8" s="2">
        <v>3</v>
      </c>
      <c r="D8" s="2">
        <v>2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0</v>
      </c>
      <c r="L8" s="2">
        <v>0</v>
      </c>
      <c r="M8" s="2">
        <v>0</v>
      </c>
      <c r="N8" s="2">
        <v>0.61810856017463256</v>
      </c>
      <c r="O8" s="2">
        <v>0.39606356287332845</v>
      </c>
      <c r="P8" s="3" t="s">
        <v>32</v>
      </c>
      <c r="Q8">
        <f>train!T$17+train!T$18*test!B8+train!T$19*test!C8+train!T$20*test!D8+train!T$21*test!E8+train!T$22*test!F8+train!T$23*test!G8+train!T$24*test!H8+train!T$25*test!I8+train!T$26*test!J8+train!T$27*K8+train!T$28*test!L8+train!T$29*test!M8</f>
        <v>4253122.3111958578</v>
      </c>
      <c r="R8">
        <f t="shared" si="0"/>
        <v>296877.68880414218</v>
      </c>
      <c r="S8">
        <f t="shared" si="1"/>
        <v>296877.68880414218</v>
      </c>
      <c r="T8" s="33">
        <f t="shared" si="2"/>
        <v>88136362109.689087</v>
      </c>
    </row>
    <row r="9" spans="1:25">
      <c r="A9" s="4">
        <v>3950000</v>
      </c>
      <c r="B9" s="5">
        <v>3500</v>
      </c>
      <c r="C9" s="5">
        <v>2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0.78143727024741327</v>
      </c>
      <c r="O9" s="5">
        <v>0.90401989188681553</v>
      </c>
      <c r="P9" s="6" t="s">
        <v>32</v>
      </c>
      <c r="Q9">
        <f>train!T$17+train!T$18*test!B9+train!T$19*test!C9+train!T$20*test!D9+train!T$21*test!E9+train!T$22*test!F9+train!T$23*test!G9+train!T$24*test!H9+train!T$25*test!I9+train!T$26*test!J9+train!T$27*K9+train!T$28*test!L9+train!T$29*test!M9</f>
        <v>4797719.9335010108</v>
      </c>
      <c r="R9">
        <f t="shared" si="0"/>
        <v>-847719.93350101076</v>
      </c>
      <c r="S9">
        <f t="shared" si="1"/>
        <v>847719.93350101076</v>
      </c>
      <c r="T9" s="33">
        <f t="shared" si="2"/>
        <v>718629085654.95813</v>
      </c>
    </row>
    <row r="10" spans="1:25">
      <c r="A10" s="1">
        <v>3550000</v>
      </c>
      <c r="B10" s="2">
        <v>3000</v>
      </c>
      <c r="C10" s="2">
        <v>2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0.37803331306872479</v>
      </c>
      <c r="O10" s="2">
        <v>0.51110891974982109</v>
      </c>
      <c r="P10" s="3" t="s">
        <v>32</v>
      </c>
      <c r="Q10">
        <f>train!T$17+train!T$18*test!B10+train!T$19*test!C10+train!T$20*test!D10+train!T$21*test!E10+train!T$22*test!F10+train!T$23*test!G10+train!T$24*test!H10+train!T$25*test!I10+train!T$26*test!J10+train!T$27*K10+train!T$28*test!L10+train!T$29*test!M10</f>
        <v>3705574.0876782257</v>
      </c>
      <c r="R10">
        <f t="shared" si="0"/>
        <v>-155574.08767822571</v>
      </c>
      <c r="S10">
        <f t="shared" si="1"/>
        <v>155574.08767822571</v>
      </c>
      <c r="T10" s="33">
        <f t="shared" si="2"/>
        <v>24203296756.912262</v>
      </c>
    </row>
    <row r="11" spans="1:25">
      <c r="A11" s="4">
        <v>7200000</v>
      </c>
      <c r="B11" s="5">
        <v>6400</v>
      </c>
      <c r="C11" s="5">
        <v>4</v>
      </c>
      <c r="D11" s="5">
        <v>3</v>
      </c>
      <c r="E11" s="5">
        <v>3</v>
      </c>
      <c r="F11" s="5">
        <v>1</v>
      </c>
      <c r="G11" s="5">
        <v>1</v>
      </c>
      <c r="H11" s="5">
        <v>1</v>
      </c>
      <c r="I11" s="5">
        <v>1</v>
      </c>
      <c r="J11" s="5">
        <v>2</v>
      </c>
      <c r="K11" s="5">
        <v>1</v>
      </c>
      <c r="L11" s="5">
        <v>1</v>
      </c>
      <c r="M11" s="5">
        <v>0</v>
      </c>
      <c r="N11" s="5">
        <v>0.2115445139601847</v>
      </c>
      <c r="O11" s="5">
        <v>0.67871828714033167</v>
      </c>
      <c r="P11" s="6" t="s">
        <v>32</v>
      </c>
      <c r="Q11">
        <f>train!T$17+train!T$18*test!B11+train!T$19*test!C11+train!T$20*test!D11+train!T$21*test!E11+train!T$22*test!F11+train!T$23*test!G11+train!T$24*test!H11+train!T$25*test!I11+train!T$26*test!J11+train!T$27*K11+train!T$28*test!L11+train!T$29*test!M11</f>
        <v>8607269.825954821</v>
      </c>
      <c r="R11">
        <f t="shared" si="0"/>
        <v>-1407269.825954821</v>
      </c>
      <c r="S11">
        <f t="shared" si="1"/>
        <v>1407269.825954821</v>
      </c>
      <c r="T11" s="33">
        <f t="shared" si="2"/>
        <v>1980408363042.9121</v>
      </c>
    </row>
    <row r="12" spans="1:25">
      <c r="A12" s="1">
        <v>13650000</v>
      </c>
      <c r="B12" s="2">
        <v>7500</v>
      </c>
      <c r="C12" s="2">
        <v>4</v>
      </c>
      <c r="D12" s="2">
        <v>2</v>
      </c>
      <c r="E12" s="2">
        <v>2</v>
      </c>
      <c r="F12" s="2">
        <v>1</v>
      </c>
      <c r="G12" s="2">
        <v>0</v>
      </c>
      <c r="H12" s="2">
        <v>1</v>
      </c>
      <c r="I12" s="2">
        <v>1</v>
      </c>
      <c r="J12" s="2">
        <v>3</v>
      </c>
      <c r="K12" s="2">
        <v>1</v>
      </c>
      <c r="L12" s="2">
        <v>1</v>
      </c>
      <c r="M12" s="2">
        <v>0</v>
      </c>
      <c r="N12" s="2">
        <v>0.75990228420012351</v>
      </c>
      <c r="O12" s="2">
        <v>2.3301641717080601E-2</v>
      </c>
      <c r="P12" s="3" t="s">
        <v>32</v>
      </c>
      <c r="Q12">
        <f>train!T$17+train!T$18*test!B12+train!T$19*test!C12+train!T$20*test!D12+train!T$21*test!E12+train!T$22*test!F12+train!T$23*test!G12+train!T$24*test!H12+train!T$25*test!I12+train!T$26*test!J12+train!T$27*K12+train!T$28*test!L12+train!T$29*test!M12</f>
        <v>12460850.624632316</v>
      </c>
      <c r="R12">
        <f t="shared" si="0"/>
        <v>1189149.3753676843</v>
      </c>
      <c r="S12">
        <f t="shared" si="1"/>
        <v>1189149.3753676843</v>
      </c>
      <c r="T12" s="33">
        <f t="shared" si="2"/>
        <v>1414076236937.3538</v>
      </c>
    </row>
    <row r="13" spans="1:25">
      <c r="A13" s="4">
        <v>6850000</v>
      </c>
      <c r="B13" s="5">
        <v>6250</v>
      </c>
      <c r="C13" s="5">
        <v>4</v>
      </c>
      <c r="D13" s="5">
        <v>3</v>
      </c>
      <c r="E13" s="5">
        <v>2</v>
      </c>
      <c r="F13" s="5">
        <v>1</v>
      </c>
      <c r="G13" s="5">
        <v>1</v>
      </c>
      <c r="H13" s="5">
        <v>0</v>
      </c>
      <c r="I13" s="5">
        <v>1</v>
      </c>
      <c r="J13" s="5">
        <v>2</v>
      </c>
      <c r="K13" s="5">
        <v>1</v>
      </c>
      <c r="L13" s="5">
        <v>1</v>
      </c>
      <c r="M13" s="5">
        <v>0</v>
      </c>
      <c r="N13" s="5">
        <v>0.76131505859898285</v>
      </c>
      <c r="O13" s="5">
        <v>0.27926836130693578</v>
      </c>
      <c r="P13" s="6" t="s">
        <v>32</v>
      </c>
      <c r="Q13">
        <f>train!T$17+train!T$18*test!B13+train!T$19*test!C13+train!T$20*test!D13+train!T$21*test!E13+train!T$22*test!F13+train!T$23*test!G13+train!T$24*test!H13+train!T$25*test!I13+train!T$26*test!J13+train!T$27*K13+train!T$28*test!L13+train!T$29*test!M13</f>
        <v>7475647.3386050723</v>
      </c>
      <c r="R13">
        <f t="shared" si="0"/>
        <v>-625647.33860507235</v>
      </c>
      <c r="S13">
        <f t="shared" si="1"/>
        <v>625647.33860507235</v>
      </c>
      <c r="T13" s="33">
        <f t="shared" si="2"/>
        <v>391434592303.61005</v>
      </c>
    </row>
    <row r="14" spans="1:25">
      <c r="A14" s="1">
        <v>8250000</v>
      </c>
      <c r="B14" s="2">
        <v>7600</v>
      </c>
      <c r="C14" s="2">
        <v>5</v>
      </c>
      <c r="D14" s="2">
        <v>4</v>
      </c>
      <c r="E14" s="2">
        <v>3</v>
      </c>
      <c r="F14" s="2">
        <v>1</v>
      </c>
      <c r="G14" s="2">
        <v>1</v>
      </c>
      <c r="H14" s="2">
        <v>1</v>
      </c>
      <c r="I14" s="2">
        <v>1</v>
      </c>
      <c r="J14" s="2">
        <v>3</v>
      </c>
      <c r="K14" s="2">
        <v>1</v>
      </c>
      <c r="L14" s="2">
        <v>1</v>
      </c>
      <c r="M14" s="2">
        <v>0</v>
      </c>
      <c r="N14" s="2">
        <v>0.50719503557363943</v>
      </c>
      <c r="O14" s="2">
        <v>0.53967634455529312</v>
      </c>
      <c r="P14" s="3" t="s">
        <v>32</v>
      </c>
      <c r="Q14">
        <f>train!T$17+train!T$18*test!B14+train!T$19*test!C14+train!T$20*test!D14+train!T$21*test!E14+train!T$22*test!F14+train!T$23*test!G14+train!T$24*test!H14+train!T$25*test!I14+train!T$26*test!J14+train!T$27*K14+train!T$28*test!L14+train!T$29*test!M14</f>
        <v>8622721.0037802216</v>
      </c>
      <c r="R14">
        <f t="shared" si="0"/>
        <v>-372721.00378022157</v>
      </c>
      <c r="S14">
        <f t="shared" si="1"/>
        <v>372721.00378022157</v>
      </c>
      <c r="T14" s="33">
        <f t="shared" si="2"/>
        <v>138920946658.93594</v>
      </c>
    </row>
    <row r="15" spans="1:25">
      <c r="A15" s="4">
        <v>4650000</v>
      </c>
      <c r="B15" s="5">
        <v>4300</v>
      </c>
      <c r="C15" s="5">
        <v>3</v>
      </c>
      <c r="D15" s="5">
        <v>2</v>
      </c>
      <c r="E15" s="5">
        <v>2</v>
      </c>
      <c r="F15" s="5">
        <v>1</v>
      </c>
      <c r="G15" s="5">
        <v>0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1</v>
      </c>
      <c r="N15" s="5">
        <v>0.8324755186445123</v>
      </c>
      <c r="O15" s="5">
        <v>0.97194633402794295</v>
      </c>
      <c r="P15" s="6" t="s">
        <v>32</v>
      </c>
      <c r="Q15">
        <f>train!T$17+train!T$18*test!B15+train!T$19*test!C15+train!T$20*test!D15+train!T$21*test!E15+train!T$22*test!F15+train!T$23*test!G15+train!T$24*test!H15+train!T$25*test!I15+train!T$26*test!J15+train!T$27*K15+train!T$28*test!L15+train!T$29*test!M15</f>
        <v>4904024.56210976</v>
      </c>
      <c r="R15">
        <f t="shared" si="0"/>
        <v>-254024.56210976001</v>
      </c>
      <c r="S15">
        <f t="shared" si="1"/>
        <v>254024.56210976001</v>
      </c>
      <c r="T15" s="33">
        <f t="shared" si="2"/>
        <v>64528478155.055321</v>
      </c>
    </row>
    <row r="16" spans="1:25">
      <c r="A16" s="1">
        <v>3750000</v>
      </c>
      <c r="B16" s="2">
        <v>3400</v>
      </c>
      <c r="C16" s="2">
        <v>2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0.78779431607292705</v>
      </c>
      <c r="O16" s="2">
        <v>0.63059013084846505</v>
      </c>
      <c r="P16" s="3" t="s">
        <v>32</v>
      </c>
      <c r="Q16">
        <f>train!T$17+train!T$18*test!B16+train!T$19*test!C16+train!T$20*test!D16+train!T$21*test!E16+train!T$22*test!F16+train!T$23*test!G16+train!T$24*test!H16+train!T$25*test!I16+train!T$26*test!J16+train!T$27*K16+train!T$28*test!L16+train!T$29*test!M16</f>
        <v>4579290.7643364538</v>
      </c>
      <c r="R16">
        <f t="shared" si="0"/>
        <v>-829290.76433645375</v>
      </c>
      <c r="S16">
        <f t="shared" si="1"/>
        <v>829290.76433645375</v>
      </c>
      <c r="T16" s="33">
        <f t="shared" si="2"/>
        <v>687723171813.73962</v>
      </c>
    </row>
    <row r="17" spans="1:20">
      <c r="A17" s="4">
        <v>7150000</v>
      </c>
      <c r="B17" s="5">
        <v>6500</v>
      </c>
      <c r="C17" s="5">
        <v>5</v>
      </c>
      <c r="D17" s="5">
        <v>3</v>
      </c>
      <c r="E17" s="5">
        <v>3</v>
      </c>
      <c r="F17" s="5">
        <v>1</v>
      </c>
      <c r="G17" s="5">
        <v>1</v>
      </c>
      <c r="H17" s="5">
        <v>1</v>
      </c>
      <c r="I17" s="5">
        <v>1</v>
      </c>
      <c r="J17" s="5">
        <v>3</v>
      </c>
      <c r="K17" s="5">
        <v>1</v>
      </c>
      <c r="L17" s="5">
        <v>1</v>
      </c>
      <c r="M17" s="5">
        <v>0</v>
      </c>
      <c r="N17" s="5">
        <v>0.25067740474292077</v>
      </c>
      <c r="O17" s="5">
        <v>0.50839021999344902</v>
      </c>
      <c r="P17" s="6" t="s">
        <v>32</v>
      </c>
      <c r="Q17">
        <f>train!T$17+train!T$18*test!B17+train!T$19*test!C17+train!T$20*test!D17+train!T$21*test!E17+train!T$22*test!F17+train!T$23*test!G17+train!T$24*test!H17+train!T$25*test!I17+train!T$26*test!J17+train!T$27*K17+train!T$28*test!L17+train!T$29*test!M17</f>
        <v>6666678.2411943618</v>
      </c>
      <c r="R17">
        <f t="shared" si="0"/>
        <v>483321.75880563818</v>
      </c>
      <c r="S17">
        <f t="shared" si="1"/>
        <v>483321.75880563818</v>
      </c>
      <c r="T17" s="33">
        <f t="shared" si="2"/>
        <v>233599922534.97549</v>
      </c>
    </row>
    <row r="18" spans="1:20">
      <c r="A18" s="1">
        <v>6550000</v>
      </c>
      <c r="B18" s="2">
        <v>6050</v>
      </c>
      <c r="C18" s="2">
        <v>4</v>
      </c>
      <c r="D18" s="2">
        <v>3</v>
      </c>
      <c r="E18" s="2">
        <v>2</v>
      </c>
      <c r="F18" s="2">
        <v>1</v>
      </c>
      <c r="G18" s="2">
        <v>1</v>
      </c>
      <c r="H18" s="2">
        <v>0</v>
      </c>
      <c r="I18" s="2">
        <v>1</v>
      </c>
      <c r="J18" s="2">
        <v>2</v>
      </c>
      <c r="K18" s="2">
        <v>1</v>
      </c>
      <c r="L18" s="2">
        <v>1</v>
      </c>
      <c r="M18" s="2">
        <v>0</v>
      </c>
      <c r="N18" s="2">
        <v>0.58189515943991643</v>
      </c>
      <c r="O18" s="2">
        <v>0.8800998311203766</v>
      </c>
      <c r="P18" s="3" t="s">
        <v>32</v>
      </c>
      <c r="Q18">
        <f>train!T$17+train!T$18*test!B18+train!T$19*test!C18+train!T$20*test!D18+train!T$21*test!E18+train!T$22*test!F18+train!T$23*test!G18+train!T$24*test!H18+train!T$25*test!I18+train!T$26*test!J18+train!T$27*K18+train!T$28*test!L18+train!T$29*test!M18</f>
        <v>7038789.0002759583</v>
      </c>
      <c r="R18">
        <f t="shared" si="0"/>
        <v>-488789.00027595833</v>
      </c>
      <c r="S18">
        <f t="shared" si="1"/>
        <v>488789.00027595833</v>
      </c>
      <c r="T18" s="33">
        <f t="shared" si="2"/>
        <v>238914686790.77078</v>
      </c>
    </row>
    <row r="19" spans="1:20">
      <c r="A19" s="4">
        <v>6050000</v>
      </c>
      <c r="B19" s="5">
        <v>5750</v>
      </c>
      <c r="C19" s="5">
        <v>4</v>
      </c>
      <c r="D19" s="5">
        <v>3</v>
      </c>
      <c r="E19" s="5">
        <v>2</v>
      </c>
      <c r="F19" s="5">
        <v>1</v>
      </c>
      <c r="G19" s="5">
        <v>1</v>
      </c>
      <c r="H19" s="5">
        <v>0</v>
      </c>
      <c r="I19" s="5">
        <v>1</v>
      </c>
      <c r="J19" s="5">
        <v>2</v>
      </c>
      <c r="K19" s="5">
        <v>1</v>
      </c>
      <c r="L19" s="5">
        <v>1</v>
      </c>
      <c r="M19" s="5">
        <v>0</v>
      </c>
      <c r="N19" s="5">
        <v>0.53687407635456741</v>
      </c>
      <c r="O19" s="5">
        <v>0.99084856746796146</v>
      </c>
      <c r="P19" s="6" t="s">
        <v>32</v>
      </c>
      <c r="Q19">
        <f>train!T$17+train!T$18*test!B19+train!T$19*test!C19+train!T$20*test!D19+train!T$21*test!E19+train!T$22*test!F19+train!T$23*test!G19+train!T$24*test!H19+train!T$25*test!I19+train!T$26*test!J19+train!T$27*K19+train!T$28*test!L19+train!T$29*test!M19</f>
        <v>6383501.4927822873</v>
      </c>
      <c r="R19">
        <f t="shared" si="0"/>
        <v>-333501.4927822873</v>
      </c>
      <c r="S19">
        <f t="shared" si="1"/>
        <v>333501.4927822873</v>
      </c>
      <c r="T19" s="33">
        <f t="shared" si="2"/>
        <v>111223245688.01402</v>
      </c>
    </row>
    <row r="20" spans="1:20">
      <c r="A20" s="1">
        <v>4150000</v>
      </c>
      <c r="B20" s="2">
        <v>3850</v>
      </c>
      <c r="C20" s="2">
        <v>3</v>
      </c>
      <c r="D20" s="2">
        <v>2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0.63904637751066806</v>
      </c>
      <c r="O20" s="2">
        <v>0.93778056096127471</v>
      </c>
      <c r="P20" s="3" t="s">
        <v>32</v>
      </c>
      <c r="Q20">
        <f>train!T$17+train!T$18*test!B20+train!T$19*test!C20+train!T$20*test!D20+train!T$21*test!E20+train!T$22*test!F20+train!T$23*test!G20+train!T$24*test!H20+train!T$25*test!I20+train!T$26*test!J20+train!T$27*K20+train!T$28*test!L20+train!T$29*test!M20</f>
        <v>4312365.0498253983</v>
      </c>
      <c r="R20">
        <f t="shared" si="0"/>
        <v>-162365.04982539825</v>
      </c>
      <c r="S20">
        <f t="shared" si="1"/>
        <v>162365.04982539825</v>
      </c>
      <c r="T20" s="33">
        <f t="shared" si="2"/>
        <v>26362409404.804058</v>
      </c>
    </row>
    <row r="21" spans="1:20">
      <c r="A21" s="4">
        <v>5300000</v>
      </c>
      <c r="B21" s="5">
        <v>4900</v>
      </c>
      <c r="C21" s="5">
        <v>3</v>
      </c>
      <c r="D21" s="5">
        <v>2</v>
      </c>
      <c r="E21" s="5">
        <v>2</v>
      </c>
      <c r="F21" s="5">
        <v>1</v>
      </c>
      <c r="G21" s="5">
        <v>0</v>
      </c>
      <c r="H21" s="5">
        <v>0</v>
      </c>
      <c r="I21" s="5">
        <v>1</v>
      </c>
      <c r="J21" s="5">
        <v>2</v>
      </c>
      <c r="K21" s="5">
        <v>0</v>
      </c>
      <c r="L21" s="5">
        <v>0</v>
      </c>
      <c r="M21" s="5">
        <v>1</v>
      </c>
      <c r="N21" s="5">
        <v>5.1735343043258997E-2</v>
      </c>
      <c r="O21" s="5">
        <v>0.54054472964238176</v>
      </c>
      <c r="P21" s="6" t="s">
        <v>32</v>
      </c>
      <c r="Q21">
        <f>train!T$17+train!T$18*test!B21+train!T$19*test!C21+train!T$20*test!D21+train!T$21*test!E21+train!T$22*test!F21+train!T$23*test!G21+train!T$24*test!H21+train!T$25*test!I21+train!T$26*test!J21+train!T$27*K21+train!T$28*test!L21+train!T$29*test!M21</f>
        <v>5552618.4252892649</v>
      </c>
      <c r="R21">
        <f t="shared" si="0"/>
        <v>-252618.42528926488</v>
      </c>
      <c r="S21">
        <f t="shared" si="1"/>
        <v>252618.42528926488</v>
      </c>
      <c r="T21" s="33">
        <f t="shared" si="2"/>
        <v>63816068795.627899</v>
      </c>
    </row>
    <row r="22" spans="1:20">
      <c r="A22" s="1">
        <v>3750000</v>
      </c>
      <c r="B22" s="2">
        <v>3300</v>
      </c>
      <c r="C22" s="2">
        <v>2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0.46237374750394633</v>
      </c>
      <c r="O22" s="2">
        <v>0.50473030599371005</v>
      </c>
      <c r="P22" s="3" t="s">
        <v>32</v>
      </c>
      <c r="Q22">
        <f>train!T$17+train!T$18*test!B22+train!T$19*test!C22+train!T$20*test!D22+train!T$21*test!E22+train!T$22*test!F22+train!T$23*test!G22+train!T$24*test!H22+train!T$25*test!I22+train!T$26*test!J22+train!T$27*K22+train!T$28*test!L22+train!T$29*test!M22</f>
        <v>4360861.5951718967</v>
      </c>
      <c r="R22">
        <f t="shared" si="0"/>
        <v>-610861.59517189674</v>
      </c>
      <c r="S22">
        <f t="shared" si="1"/>
        <v>610861.59517189674</v>
      </c>
      <c r="T22" s="33">
        <f t="shared" si="2"/>
        <v>373151888455.95428</v>
      </c>
    </row>
    <row r="23" spans="1:20">
      <c r="A23" s="4">
        <v>4700000</v>
      </c>
      <c r="B23" s="5">
        <v>4250</v>
      </c>
      <c r="C23" s="5">
        <v>3</v>
      </c>
      <c r="D23" s="5">
        <v>2</v>
      </c>
      <c r="E23" s="5">
        <v>2</v>
      </c>
      <c r="F23" s="5">
        <v>1</v>
      </c>
      <c r="G23" s="5">
        <v>0</v>
      </c>
      <c r="H23" s="5">
        <v>0</v>
      </c>
      <c r="I23" s="5">
        <v>1</v>
      </c>
      <c r="J23" s="5">
        <v>2</v>
      </c>
      <c r="K23" s="5">
        <v>0</v>
      </c>
      <c r="L23" s="5">
        <v>0</v>
      </c>
      <c r="M23" s="5">
        <v>1</v>
      </c>
      <c r="N23" s="5">
        <v>0.17626191744035591</v>
      </c>
      <c r="O23" s="5">
        <v>1.3551749114967593E-2</v>
      </c>
      <c r="P23" s="6" t="s">
        <v>32</v>
      </c>
      <c r="Q23">
        <f>train!T$17+train!T$18*test!B23+train!T$19*test!C23+train!T$20*test!D23+train!T$21*test!E23+train!T$22*test!F23+train!T$23*test!G23+train!T$24*test!H23+train!T$25*test!I23+train!T$26*test!J23+train!T$27*K23+train!T$28*test!L23+train!T$29*test!M23</f>
        <v>4132828.825719642</v>
      </c>
      <c r="R23">
        <f t="shared" si="0"/>
        <v>567171.17428035801</v>
      </c>
      <c r="S23">
        <f t="shared" si="1"/>
        <v>567171.17428035801</v>
      </c>
      <c r="T23" s="33">
        <f t="shared" si="2"/>
        <v>321683140934.56024</v>
      </c>
    </row>
    <row r="24" spans="1:20">
      <c r="A24" s="1">
        <v>5850000</v>
      </c>
      <c r="B24" s="2">
        <v>5600</v>
      </c>
      <c r="C24" s="2">
        <v>4</v>
      </c>
      <c r="D24" s="2">
        <v>2</v>
      </c>
      <c r="E24" s="2">
        <v>2</v>
      </c>
      <c r="F24" s="2">
        <v>1</v>
      </c>
      <c r="G24" s="2">
        <v>1</v>
      </c>
      <c r="H24" s="2">
        <v>0</v>
      </c>
      <c r="I24" s="2">
        <v>1</v>
      </c>
      <c r="J24" s="2">
        <v>2</v>
      </c>
      <c r="K24" s="2">
        <v>1</v>
      </c>
      <c r="L24" s="2">
        <v>1</v>
      </c>
      <c r="M24" s="2">
        <v>0</v>
      </c>
      <c r="N24" s="2">
        <v>0.54699612942993425</v>
      </c>
      <c r="O24" s="2">
        <v>0.86298220794495228</v>
      </c>
      <c r="P24" s="3" t="s">
        <v>32</v>
      </c>
      <c r="Q24">
        <f>train!T$17+train!T$18*test!B24+train!T$19*test!C24+train!T$20*test!D24+train!T$21*test!E24+train!T$22*test!F24+train!T$23*test!G24+train!T$24*test!H24+train!T$25*test!I24+train!T$26*test!J24+train!T$27*K24+train!T$28*test!L24+train!T$29*test!M24</f>
        <v>6502535.837259721</v>
      </c>
      <c r="R24">
        <f t="shared" si="0"/>
        <v>-652535.83725972101</v>
      </c>
      <c r="S24">
        <f t="shared" si="1"/>
        <v>652535.83725972101</v>
      </c>
      <c r="T24" s="33">
        <f t="shared" si="2"/>
        <v>425803018908.24512</v>
      </c>
    </row>
    <row r="25" spans="1:20">
      <c r="A25" s="4">
        <v>3500000</v>
      </c>
      <c r="B25" s="5">
        <v>2950</v>
      </c>
      <c r="C25" s="5">
        <v>2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7.1200216484069712E-3</v>
      </c>
      <c r="O25" s="5">
        <v>0.40951470651697353</v>
      </c>
      <c r="P25" s="6" t="s">
        <v>32</v>
      </c>
      <c r="Q25">
        <f>train!T$17+train!T$18*test!B25+train!T$19*test!C25+train!T$20*test!D25+train!T$21*test!E25+train!T$22*test!F25+train!T$23*test!G25+train!T$24*test!H25+train!T$25*test!I25+train!T$26*test!J25+train!T$27*K25+train!T$28*test!L25+train!T$29*test!M25</f>
        <v>3596359.5030959472</v>
      </c>
      <c r="R25">
        <f t="shared" si="0"/>
        <v>-96359.503095947206</v>
      </c>
      <c r="S25">
        <f t="shared" si="1"/>
        <v>96359.503095947206</v>
      </c>
      <c r="T25" s="33">
        <f t="shared" si="2"/>
        <v>9285153836.8978596</v>
      </c>
    </row>
    <row r="26" spans="1:20">
      <c r="A26" s="1">
        <v>4150000</v>
      </c>
      <c r="B26" s="2">
        <v>3750</v>
      </c>
      <c r="C26" s="2">
        <v>3</v>
      </c>
      <c r="D26" s="2">
        <v>2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7.7657670078834062E-2</v>
      </c>
      <c r="O26" s="2">
        <v>0.51900299577390152</v>
      </c>
      <c r="P26" s="3" t="s">
        <v>32</v>
      </c>
      <c r="Q26">
        <f>train!T$17+train!T$18*test!B26+train!T$19*test!C26+train!T$20*test!D26+train!T$21*test!E26+train!T$22*test!F26+train!T$23*test!G26+train!T$24*test!H26+train!T$25*test!I26+train!T$26*test!J26+train!T$27*K26+train!T$28*test!L26+train!T$29*test!M26</f>
        <v>4093935.8806608403</v>
      </c>
      <c r="R26">
        <f t="shared" si="0"/>
        <v>56064.11933915969</v>
      </c>
      <c r="S26">
        <f t="shared" si="1"/>
        <v>56064.11933915969</v>
      </c>
      <c r="T26" s="33">
        <f t="shared" si="2"/>
        <v>3143185477.2755394</v>
      </c>
    </row>
    <row r="27" spans="1:20">
      <c r="A27" s="4">
        <v>5550000</v>
      </c>
      <c r="B27" s="5">
        <v>5200</v>
      </c>
      <c r="C27" s="5">
        <v>4</v>
      </c>
      <c r="D27" s="5">
        <v>2</v>
      </c>
      <c r="E27" s="5">
        <v>2</v>
      </c>
      <c r="F27" s="5">
        <v>1</v>
      </c>
      <c r="G27" s="5">
        <v>0</v>
      </c>
      <c r="H27" s="5">
        <v>1</v>
      </c>
      <c r="I27" s="5">
        <v>1</v>
      </c>
      <c r="J27" s="5">
        <v>2</v>
      </c>
      <c r="K27" s="5">
        <v>0</v>
      </c>
      <c r="L27" s="5">
        <v>0</v>
      </c>
      <c r="M27" s="5">
        <v>1</v>
      </c>
      <c r="N27" s="5">
        <v>0.66048038409722543</v>
      </c>
      <c r="O27" s="5">
        <v>0.81143563433902044</v>
      </c>
      <c r="P27" s="6" t="s">
        <v>32</v>
      </c>
      <c r="Q27">
        <f>train!T$17+train!T$18*test!B27+train!T$19*test!C27+train!T$20*test!D27+train!T$21*test!E27+train!T$22*test!F27+train!T$23*test!G27+train!T$24*test!H27+train!T$25*test!I27+train!T$26*test!J27+train!T$27*K27+train!T$28*test!L27+train!T$29*test!M27</f>
        <v>5676608.743166321</v>
      </c>
      <c r="R27">
        <f t="shared" si="0"/>
        <v>-126608.74316632096</v>
      </c>
      <c r="S27">
        <f t="shared" si="1"/>
        <v>126608.74316632096</v>
      </c>
      <c r="T27" s="33">
        <f t="shared" si="2"/>
        <v>16029773846.155424</v>
      </c>
    </row>
    <row r="28" spans="1:20">
      <c r="A28" s="1">
        <v>3850000</v>
      </c>
      <c r="B28" s="2">
        <v>3450</v>
      </c>
      <c r="C28" s="2">
        <v>2</v>
      </c>
      <c r="D28" s="2">
        <v>1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0.13871563336999637</v>
      </c>
      <c r="O28" s="2">
        <v>0.4799634627254773</v>
      </c>
      <c r="P28" s="3" t="s">
        <v>32</v>
      </c>
      <c r="Q28">
        <f>train!T$17+train!T$18*test!B28+train!T$19*test!C28+train!T$20*test!D28+train!T$21*test!E28+train!T$22*test!F28+train!T$23*test!G28+train!T$24*test!H28+train!T$25*test!I28+train!T$26*test!J28+train!T$27*K28+train!T$28*test!L28+train!T$29*test!M28</f>
        <v>4688505.3489187323</v>
      </c>
      <c r="R28">
        <f t="shared" si="0"/>
        <v>-838505.34891873226</v>
      </c>
      <c r="S28">
        <f t="shared" si="1"/>
        <v>838505.34891873226</v>
      </c>
      <c r="T28" s="33">
        <f t="shared" si="2"/>
        <v>703091220165.32495</v>
      </c>
    </row>
    <row r="29" spans="1:20">
      <c r="A29" s="4">
        <v>7050000</v>
      </c>
      <c r="B29" s="5">
        <v>6550</v>
      </c>
      <c r="C29" s="5">
        <v>4</v>
      </c>
      <c r="D29" s="5">
        <v>3</v>
      </c>
      <c r="E29" s="5">
        <v>3</v>
      </c>
      <c r="F29" s="5">
        <v>1</v>
      </c>
      <c r="G29" s="5">
        <v>1</v>
      </c>
      <c r="H29" s="5">
        <v>0</v>
      </c>
      <c r="I29" s="5">
        <v>1</v>
      </c>
      <c r="J29" s="5">
        <v>3</v>
      </c>
      <c r="K29" s="5">
        <v>1</v>
      </c>
      <c r="L29" s="5">
        <v>1</v>
      </c>
      <c r="M29" s="5">
        <v>0</v>
      </c>
      <c r="N29" s="5">
        <v>0.47681984195812066</v>
      </c>
      <c r="O29" s="5">
        <v>0.83283082210259085</v>
      </c>
      <c r="P29" s="6" t="s">
        <v>32</v>
      </c>
      <c r="Q29">
        <f>train!T$17+train!T$18*test!B29+train!T$19*test!C29+train!T$20*test!D29+train!T$21*test!E29+train!T$22*test!F29+train!T$23*test!G29+train!T$24*test!H29+train!T$25*test!I29+train!T$26*test!J29+train!T$27*K29+train!T$28*test!L29+train!T$29*test!M29</f>
        <v>7307190.0153932571</v>
      </c>
      <c r="R29">
        <f t="shared" si="0"/>
        <v>-257190.01539325714</v>
      </c>
      <c r="S29">
        <f t="shared" si="1"/>
        <v>257190.01539325714</v>
      </c>
      <c r="T29" s="33">
        <f t="shared" si="2"/>
        <v>66146704017.983849</v>
      </c>
    </row>
    <row r="30" spans="1:20">
      <c r="A30" s="1">
        <v>7600000</v>
      </c>
      <c r="B30" s="2">
        <v>6800</v>
      </c>
      <c r="C30" s="2">
        <v>5</v>
      </c>
      <c r="D30" s="2">
        <v>3</v>
      </c>
      <c r="E30" s="2">
        <v>3</v>
      </c>
      <c r="F30" s="2">
        <v>1</v>
      </c>
      <c r="G30" s="2">
        <v>1</v>
      </c>
      <c r="H30" s="2">
        <v>1</v>
      </c>
      <c r="I30" s="2">
        <v>1</v>
      </c>
      <c r="J30" s="2">
        <v>3</v>
      </c>
      <c r="K30" s="2">
        <v>1</v>
      </c>
      <c r="L30" s="2">
        <v>1</v>
      </c>
      <c r="M30" s="2">
        <v>0</v>
      </c>
      <c r="N30" s="2">
        <v>0.98670707506388844</v>
      </c>
      <c r="O30" s="2">
        <v>0.31865646754074273</v>
      </c>
      <c r="P30" s="3" t="s">
        <v>32</v>
      </c>
      <c r="Q30">
        <f>train!T$17+train!T$18*test!B30+train!T$19*test!C30+train!T$20*test!D30+train!T$21*test!E30+train!T$22*test!F30+train!T$23*test!G30+train!T$24*test!H30+train!T$25*test!I30+train!T$26*test!J30+train!T$27*K30+train!T$28*test!L30+train!T$29*test!M30</f>
        <v>7321965.7486880329</v>
      </c>
      <c r="R30">
        <f t="shared" si="0"/>
        <v>278034.25131196715</v>
      </c>
      <c r="S30">
        <f t="shared" si="1"/>
        <v>278034.25131196715</v>
      </c>
      <c r="T30" s="33">
        <f t="shared" si="2"/>
        <v>77303044902.60611</v>
      </c>
    </row>
    <row r="31" spans="1:20">
      <c r="A31" s="4">
        <v>5700000</v>
      </c>
      <c r="B31" s="5">
        <v>5350</v>
      </c>
      <c r="C31" s="5">
        <v>4</v>
      </c>
      <c r="D31" s="5">
        <v>2</v>
      </c>
      <c r="E31" s="5">
        <v>2</v>
      </c>
      <c r="F31" s="5">
        <v>1</v>
      </c>
      <c r="G31" s="5">
        <v>1</v>
      </c>
      <c r="H31" s="5">
        <v>0</v>
      </c>
      <c r="I31" s="5">
        <v>1</v>
      </c>
      <c r="J31" s="5">
        <v>2</v>
      </c>
      <c r="K31" s="5">
        <v>1</v>
      </c>
      <c r="L31" s="5">
        <v>1</v>
      </c>
      <c r="M31" s="5">
        <v>0</v>
      </c>
      <c r="N31" s="5">
        <v>0.44319957655638964</v>
      </c>
      <c r="O31" s="5">
        <v>0.19005145006553215</v>
      </c>
      <c r="P31" s="6" t="s">
        <v>32</v>
      </c>
      <c r="Q31">
        <f>train!T$17+train!T$18*test!B31+train!T$19*test!C31+train!T$20*test!D31+train!T$21*test!E31+train!T$22*test!F31+train!T$23*test!G31+train!T$24*test!H31+train!T$25*test!I31+train!T$26*test!J31+train!T$27*K31+train!T$28*test!L31+train!T$29*test!M31</f>
        <v>5956462.9143483266</v>
      </c>
      <c r="R31">
        <f t="shared" si="0"/>
        <v>-256462.91434832662</v>
      </c>
      <c r="S31">
        <f t="shared" si="1"/>
        <v>256462.91434832662</v>
      </c>
      <c r="T31" s="33">
        <f t="shared" si="2"/>
        <v>65773226436.037117</v>
      </c>
    </row>
    <row r="32" spans="1:20">
      <c r="A32" s="1">
        <v>7300000</v>
      </c>
      <c r="B32" s="2">
        <v>6600</v>
      </c>
      <c r="C32" s="2">
        <v>5</v>
      </c>
      <c r="D32" s="2">
        <v>3</v>
      </c>
      <c r="E32" s="2">
        <v>3</v>
      </c>
      <c r="F32" s="2">
        <v>1</v>
      </c>
      <c r="G32" s="2">
        <v>1</v>
      </c>
      <c r="H32" s="2">
        <v>1</v>
      </c>
      <c r="I32" s="2">
        <v>1</v>
      </c>
      <c r="J32" s="2">
        <v>3</v>
      </c>
      <c r="K32" s="2">
        <v>1</v>
      </c>
      <c r="L32" s="2">
        <v>1</v>
      </c>
      <c r="M32" s="2">
        <v>0</v>
      </c>
      <c r="N32" s="2">
        <v>0.37151021550077445</v>
      </c>
      <c r="O32" s="2">
        <v>3.4498884149774423E-2</v>
      </c>
      <c r="P32" s="3" t="s">
        <v>32</v>
      </c>
      <c r="Q32">
        <f>train!T$17+train!T$18*test!B32+train!T$19*test!C32+train!T$20*test!D32+train!T$21*test!E32+train!T$22*test!F32+train!T$23*test!G32+train!T$24*test!H32+train!T$25*test!I32+train!T$26*test!J32+train!T$27*K32+train!T$28*test!L32+train!T$29*test!M32</f>
        <v>6885107.4103589188</v>
      </c>
      <c r="R32">
        <f t="shared" si="0"/>
        <v>414892.58964108117</v>
      </c>
      <c r="S32">
        <f t="shared" si="1"/>
        <v>414892.58964108117</v>
      </c>
      <c r="T32" s="33">
        <f t="shared" si="2"/>
        <v>172135860939.08258</v>
      </c>
    </row>
    <row r="33" spans="1:20">
      <c r="A33" s="4">
        <v>4100000</v>
      </c>
      <c r="B33" s="5">
        <v>3550</v>
      </c>
      <c r="C33" s="5">
        <v>2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0.20637966464233726</v>
      </c>
      <c r="O33" s="5">
        <v>0.58282976816928334</v>
      </c>
      <c r="P33" s="6" t="s">
        <v>32</v>
      </c>
      <c r="Q33">
        <f>train!T$17+train!T$18*test!B33+train!T$19*test!C33+train!T$20*test!D33+train!T$21*test!E33+train!T$22*test!F33+train!T$23*test!G33+train!T$24*test!H33+train!T$25*test!I33+train!T$26*test!J33+train!T$27*K33+train!T$28*test!L33+train!T$29*test!M33</f>
        <v>4906934.5180832893</v>
      </c>
      <c r="R33">
        <f t="shared" si="0"/>
        <v>-806934.51808328927</v>
      </c>
      <c r="S33">
        <f t="shared" si="1"/>
        <v>806934.51808328927</v>
      </c>
      <c r="T33" s="33">
        <f t="shared" si="2"/>
        <v>651143316474.3103</v>
      </c>
    </row>
    <row r="34" spans="1:20">
      <c r="F34" s="35" t="s">
        <v>65</v>
      </c>
      <c r="G34" s="35"/>
      <c r="H34" s="35"/>
      <c r="I34" s="35"/>
      <c r="J34" s="35"/>
      <c r="K34" s="35"/>
      <c r="L34" s="35"/>
      <c r="M34" s="35"/>
      <c r="Q34">
        <f>SUM(Q2:Q33)</f>
        <v>193488353.76932859</v>
      </c>
      <c r="R34">
        <f>SUM(R2:R33)</f>
        <v>-4288353.7693285961</v>
      </c>
      <c r="S34">
        <f t="shared" si="1"/>
        <v>4288353.7693285961</v>
      </c>
      <c r="T34" s="33">
        <f t="shared" si="2"/>
        <v>18389978050914.777</v>
      </c>
    </row>
  </sheetData>
  <mergeCells count="1">
    <mergeCell ref="F34:M3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063E62-1835-44A5-8685-D918695531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housing- Dataset</vt:lpstr>
      <vt:lpstr>cleaning</vt:lpstr>
      <vt:lpstr>outliar droping(1)</vt:lpstr>
      <vt:lpstr>outliar droping(2)</vt:lpstr>
      <vt:lpstr>outliar droping(3)</vt:lpstr>
      <vt:lpstr>test-train</vt:lpstr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 Kazimov</dc:creator>
  <cp:lastModifiedBy>Ramin  Kazimov</cp:lastModifiedBy>
  <dcterms:created xsi:type="dcterms:W3CDTF">2026-10-23T09:57:47Z</dcterms:created>
  <dcterms:modified xsi:type="dcterms:W3CDTF">2026-10-26T06:59:44Z</dcterms:modified>
</cp:coreProperties>
</file>